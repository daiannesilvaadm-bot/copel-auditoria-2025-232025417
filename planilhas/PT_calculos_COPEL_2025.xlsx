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BP" sheetId="2" state="visible" r:id="rId4"/>
    <sheet name="DRE" sheetId="3" state="visible" r:id="rId5"/>
    <sheet name="Indicadores" sheetId="4" state="visible" r:id="rId6"/>
    <sheet name="Materialidade" sheetId="5" state="visible" r:id="rId7"/>
    <sheet name="Contas_Significativas" sheetId="6" state="visible" r:id="rId8"/>
    <sheet name="Conciliacao_Intangivel" sheetId="7" state="visible" r:id="rId9"/>
    <sheet name="MUS_Parametros" sheetId="8" state="visible" r:id="rId10"/>
    <sheet name="MUS_Amostra" sheetId="9" state="visible" r:id="rId11"/>
    <sheet name="MUS_Avaliacao" sheetId="10" state="visible" r:id="rId12"/>
    <sheet name="Excecoes" sheetId="11" state="visible" r:id="rId13"/>
    <sheet name="Distorcoes" sheetId="12" state="visible" r:id="rId14"/>
    <sheet name="Analiticos" sheetId="13" state="visible" r:id="rId15"/>
    <sheet name="Continuidade" sheetId="14" state="visible" r:id="rId16"/>
    <sheet name="Expectativas_520" sheetId="15" state="visible" r:id="rId17"/>
    <sheet name="Sensibilidade_540" sheetId="16" state="visible" r:id="rId18"/>
    <sheet name="Grupo_600" sheetId="17" state="visible" r:id="rId19"/>
    <sheet name="Matriz_Cobertura" sheetId="18" state="visible" r:id="rId20"/>
    <sheet name="Font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Julgamento: 2º ano da firma no cliente, controles atestados (SOX), mas este trabalho não testou controles - 70%.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Com contaminações todas iguais a 1,0: soma[(f(i)-f(i-1))-1] = f(k)-f(0)-k. Para contaminações diferentes, usar o cálculo ordenado do código Python.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F01, Anexo I, DFC, p. 25: R$ 3.028.446 mil.</t>
        </r>
      </text>
    </comment>
  </commentList>
</comments>
</file>

<file path=xl/sharedStrings.xml><?xml version="1.0" encoding="utf-8"?>
<sst xmlns="http://schemas.openxmlformats.org/spreadsheetml/2006/main" count="2592" uniqueCount="1135">
  <si>
    <t xml:space="preserve">PT_calculos_COPEL_2025 - Planilhas editáveis do dossiê</t>
  </si>
  <si>
    <t xml:space="preserve">Trabalho</t>
  </si>
  <si>
    <t xml:space="preserve">Dossiê de auditoria acadêmico - P2 - Auditoria (UnB)</t>
  </si>
  <si>
    <t xml:space="preserve">Estudante</t>
  </si>
  <si>
    <t xml:space="preserve">Daiane da Silva - matrícula 232025417</t>
  </si>
  <si>
    <t xml:space="preserve">Companhia</t>
  </si>
  <si>
    <t xml:space="preserve">Companhia Paranaense de Energia - COPEL - CNPJ 76.483.817/0001-20 - Código CVM 1431-1</t>
  </si>
  <si>
    <t xml:space="preserve">Exercício</t>
  </si>
  <si>
    <t xml:space="preserve">31/12/2025 (comparativo 31/12/2024) - demonstrações consolidadas</t>
  </si>
  <si>
    <t xml:space="preserve">Data de consulta das fontes</t>
  </si>
  <si>
    <t xml:space="preserve">24/10/2026</t>
  </si>
  <si>
    <t xml:space="preserve">Natureza</t>
  </si>
  <si>
    <t xml:space="preserve">Trabalho acadêmico realizado com apoio de IA. NÃO é opinião profissional independente.</t>
  </si>
  <si>
    <t xml:space="preserve">Dados sintéticos</t>
  </si>
  <si>
    <t xml:space="preserve">Abas MUS_*, Excecoes, Distorcoes (parte simulada) e Conciliacao_Intangivel (base) usam DADOS SINTÉTICOS gerados por código; não são registros reais da COPEL.</t>
  </si>
  <si>
    <t xml:space="preserve">Unidade</t>
  </si>
  <si>
    <t xml:space="preserve">R$ mil, salvo indicação (R$ = reais nas abas da base sintética).</t>
  </si>
  <si>
    <t xml:space="preserve">Cores</t>
  </si>
  <si>
    <t xml:space="preserve">Azul = entrada (fonte pública/premissa) | Preto = fórmula | Verde = vínculo entre abas | Amarelo = premissa de julgamento editável</t>
  </si>
  <si>
    <t xml:space="preserve">Revisão</t>
  </si>
  <si>
    <t xml:space="preserve">Campo de revisão não preenchido: não há revisão de terceiros.</t>
  </si>
  <si>
    <t xml:space="preserve">Balanço patrimonial consolidado (R$ mil) - PT 520 / PT 320</t>
  </si>
  <si>
    <t xml:space="preserve">COPEL - exercício 2025 | Preparadora: matrícula 232025417 | Data: 24/10/2026 | Revisão: ____________ (campo não preenchido - sem revisão de terceiros)</t>
  </si>
  <si>
    <t xml:space="preserve">Fonte: F01, Anexo I, p. 24 (release 4T25, Form 6-K, SEC, 27/02/2026)</t>
  </si>
  <si>
    <t xml:space="preserve">Rubrica</t>
  </si>
  <si>
    <t xml:space="preserve">31/12/2025</t>
  </si>
  <si>
    <t xml:space="preserve">31/12/2024</t>
  </si>
  <si>
    <t xml:space="preserve">Variação R$</t>
  </si>
  <si>
    <t xml:space="preserve">Variação %</t>
  </si>
  <si>
    <t xml:space="preserve">AV % 2025</t>
  </si>
  <si>
    <t xml:space="preserve">Checagem</t>
  </si>
  <si>
    <t xml:space="preserve">Ativo circulante</t>
  </si>
  <si>
    <t xml:space="preserve">Caixa e equivalentes de caixa</t>
  </si>
  <si>
    <t xml:space="preserve">Títulos e valores mobiliários</t>
  </si>
  <si>
    <t xml:space="preserve">Cauções e depósitos vinculados</t>
  </si>
  <si>
    <t xml:space="preserve">Clientes</t>
  </si>
  <si>
    <t xml:space="preserve">Dividendos a receber</t>
  </si>
  <si>
    <t xml:space="preserve">Ativos financeiros setoriais</t>
  </si>
  <si>
    <t xml:space="preserve">Contas a receber vinculadas à concessão</t>
  </si>
  <si>
    <t xml:space="preserve">Ativos de contrato</t>
  </si>
  <si>
    <t xml:space="preserve">Valor justo nas operações de compra e venda de energia</t>
  </si>
  <si>
    <t xml:space="preserve">Outros créditos</t>
  </si>
  <si>
    <t xml:space="preserve">Estoques</t>
  </si>
  <si>
    <t xml:space="preserve">Imposto de renda e contribuição social a recuperar</t>
  </si>
  <si>
    <t xml:space="preserve">Outros tributos a recuperar</t>
  </si>
  <si>
    <t xml:space="preserve">Despesas antecipadas</t>
  </si>
  <si>
    <t xml:space="preserve">Partes relacionadas</t>
  </si>
  <si>
    <t xml:space="preserve">Ativos classificados como mantidos para venda</t>
  </si>
  <si>
    <t xml:space="preserve">Total ativo circulante (soma)</t>
  </si>
  <si>
    <t xml:space="preserve">Realizável a longo prazo</t>
  </si>
  <si>
    <t xml:space="preserve">Outros investimentos temporários</t>
  </si>
  <si>
    <t xml:space="preserve">Depósitos judiciais</t>
  </si>
  <si>
    <t xml:space="preserve">Imposto de renda e contribuição social diferidos</t>
  </si>
  <si>
    <t xml:space="preserve">Total realizável a longo prazo (soma)</t>
  </si>
  <si>
    <t xml:space="preserve">Investimentos, imobilizado e intangível</t>
  </si>
  <si>
    <t xml:space="preserve">Investimentos</t>
  </si>
  <si>
    <t xml:space="preserve">Imobilizado</t>
  </si>
  <si>
    <t xml:space="preserve">Intangível</t>
  </si>
  <si>
    <t xml:space="preserve">Direito de uso de ativos</t>
  </si>
  <si>
    <t xml:space="preserve">Total investimentos, imobilizado e intangível (soma)</t>
  </si>
  <si>
    <t xml:space="preserve">TOTAL DO ATIVO</t>
  </si>
  <si>
    <t xml:space="preserve">Passivo circulante</t>
  </si>
  <si>
    <t xml:space="preserve">Obrigações sociais e trabalhistas</t>
  </si>
  <si>
    <t xml:space="preserve">Fornecedores</t>
  </si>
  <si>
    <t xml:space="preserve">Imposto de renda e contribuição social a recolher</t>
  </si>
  <si>
    <t xml:space="preserve">Outras obrigações fiscais</t>
  </si>
  <si>
    <t xml:space="preserve">Empréstimos e financiamentos</t>
  </si>
  <si>
    <t xml:space="preserve">Debêntures</t>
  </si>
  <si>
    <t xml:space="preserve">Dividendos mínimos obrigatórios a pagar</t>
  </si>
  <si>
    <t xml:space="preserve">Benefícios pós-emprego</t>
  </si>
  <si>
    <t xml:space="preserve">Encargos do consumidor a recolher</t>
  </si>
  <si>
    <t xml:space="preserve">Pesquisa e desenvolvimento e eficiência energética</t>
  </si>
  <si>
    <t xml:space="preserve">Contas a pagar vinculadas à concessão</t>
  </si>
  <si>
    <t xml:space="preserve">Passivos financeiros setoriais líquidos</t>
  </si>
  <si>
    <t xml:space="preserve">Passivo de arrendamentos</t>
  </si>
  <si>
    <t xml:space="preserve">Outras contas a pagar</t>
  </si>
  <si>
    <t xml:space="preserve">Provisão para destinação de créditos de PIS e Cofins</t>
  </si>
  <si>
    <t xml:space="preserve">Passivos associados a ativos mantidos para venda</t>
  </si>
  <si>
    <t xml:space="preserve">Total passivo circulante (soma)</t>
  </si>
  <si>
    <t xml:space="preserve">Passivo não circulante</t>
  </si>
  <si>
    <t xml:space="preserve">Provisões para litígios e outras provisões</t>
  </si>
  <si>
    <t xml:space="preserve">Total passivo não circulante (soma)</t>
  </si>
  <si>
    <t xml:space="preserve">Patrimônio líquido - controladores</t>
  </si>
  <si>
    <t xml:space="preserve">Capital social</t>
  </si>
  <si>
    <t xml:space="preserve">Reservas de capital</t>
  </si>
  <si>
    <t xml:space="preserve">Ajustes de avaliação patrimonial</t>
  </si>
  <si>
    <t xml:space="preserve">Ações em tesouraria</t>
  </si>
  <si>
    <t xml:space="preserve">Reserva legal</t>
  </si>
  <si>
    <t xml:space="preserve">Reserva de retenção de lucros</t>
  </si>
  <si>
    <t xml:space="preserve">Dividendo adicional proposto</t>
  </si>
  <si>
    <t xml:space="preserve">Total patrimônio líquido - controladores (soma)</t>
  </si>
  <si>
    <t xml:space="preserve">Participação de não controladores</t>
  </si>
  <si>
    <t xml:space="preserve">TOTAL DO PATRIMÔNIO LÍQUIDO</t>
  </si>
  <si>
    <t xml:space="preserve">TOTAL DO PASSIVO E PL</t>
  </si>
  <si>
    <t xml:space="preserve">Demonstração do resultado consolidada (R$ mil) - PT 520 / PT PA-01</t>
  </si>
  <si>
    <t xml:space="preserve">Fonte: F01, Anexo I, p. 23. 'Outros custos e despesas' 2024 inclui (936) de material para energia elétrica, apresentado em linha separada no release.</t>
  </si>
  <si>
    <t xml:space="preserve">2025</t>
  </si>
  <si>
    <t xml:space="preserve">2024</t>
  </si>
  <si>
    <t xml:space="preserve">AV % da ROL 2025</t>
  </si>
  <si>
    <t xml:space="preserve">Receita operacional líquida</t>
  </si>
  <si>
    <t xml:space="preserve">  Fornecimento de energia a consumidores finais</t>
  </si>
  <si>
    <t xml:space="preserve">  Suprimento de energia a distribuidoras</t>
  </si>
  <si>
    <t xml:space="preserve">  Disponibilidade da rede elétrica (TUSD/TUST)</t>
  </si>
  <si>
    <t xml:space="preserve">  Receita de construção</t>
  </si>
  <si>
    <t xml:space="preserve">  Valor justo do ativo indenizável da concessão (VNR)</t>
  </si>
  <si>
    <t xml:space="preserve">  Resultado de ativos e passivos financeiros setoriais</t>
  </si>
  <si>
    <t xml:space="preserve">  Outras receitas operacionais</t>
  </si>
  <si>
    <t xml:space="preserve">Custos e despesas operacionais</t>
  </si>
  <si>
    <t xml:space="preserve">  Energia elétrica comprada para revenda</t>
  </si>
  <si>
    <t xml:space="preserve">  Encargos de uso da rede elétrica</t>
  </si>
  <si>
    <t xml:space="preserve">  Pessoal e administradores</t>
  </si>
  <si>
    <t xml:space="preserve">  Planos previdenciário e assistencial</t>
  </si>
  <si>
    <t xml:space="preserve">  Material</t>
  </si>
  <si>
    <t xml:space="preserve">  Serviços de terceiros</t>
  </si>
  <si>
    <t xml:space="preserve">  Depreciação e amortização</t>
  </si>
  <si>
    <t xml:space="preserve">  Provisões e reversões</t>
  </si>
  <si>
    <t xml:space="preserve">  Custo de construção</t>
  </si>
  <si>
    <t xml:space="preserve">  Outros custos e despesas</t>
  </si>
  <si>
    <t xml:space="preserve">Resultado de equivalência patrimonial</t>
  </si>
  <si>
    <t xml:space="preserve">Lucro antes do resultado financeiro e dos tributos</t>
  </si>
  <si>
    <t xml:space="preserve">Resultado financeiro</t>
  </si>
  <si>
    <t xml:space="preserve">  Receitas financeiras</t>
  </si>
  <si>
    <t xml:space="preserve">  Despesas financeiras</t>
  </si>
  <si>
    <t xml:space="preserve">Lucro antes do IR e da CSLL</t>
  </si>
  <si>
    <t xml:space="preserve">IR e CSLL (correntes e diferidos)</t>
  </si>
  <si>
    <t xml:space="preserve">Lucro líquido das operações continuadas</t>
  </si>
  <si>
    <t xml:space="preserve">Lucro líquido das operações descontinuadas</t>
  </si>
  <si>
    <t xml:space="preserve">Lucro líquido do exercício</t>
  </si>
  <si>
    <t xml:space="preserve">Checagem: lucro líquido continuado publicado (2.669.041 / 2.307.799)</t>
  </si>
  <si>
    <t xml:space="preserve">EBITDA publicado (R$ mil)</t>
  </si>
  <si>
    <t xml:space="preserve">EBITDA recalculado = EBIT + depreciação e amortização (diferença = itens de ajuste da companhia)</t>
  </si>
  <si>
    <t xml:space="preserve">Diferença (EBITDA publicado - recalculado): zero indica que o EBITDA publicado reconcilia com EBIT + D&amp;A</t>
  </si>
  <si>
    <t xml:space="preserve">Indicadores analíticos - PT 520 / PT 570</t>
  </si>
  <si>
    <t xml:space="preserve">Indicador</t>
  </si>
  <si>
    <t xml:space="preserve">Fórmula / leitura</t>
  </si>
  <si>
    <t xml:space="preserve">Liquidez corrente (AC / PC)</t>
  </si>
  <si>
    <t xml:space="preserve">Abaixo de 1,0 em 2025 - ver PT 570.</t>
  </si>
  <si>
    <t xml:space="preserve">Endividamento bruto (empréstimos + debêntures)</t>
  </si>
  <si>
    <t xml:space="preserve">R$ mil. A companhia informa dívida bruta de R$ 20.038,9 mi (inclui efeito de swap).</t>
  </si>
  <si>
    <t xml:space="preserve">Dívida bruta / PL</t>
  </si>
  <si>
    <t xml:space="preserve">Margem EBITDA (EBITDA / ROL)</t>
  </si>
  <si>
    <t xml:space="preserve">Release informa 25,0% e 24,4%.</t>
  </si>
  <si>
    <t xml:space="preserve">Margem líquida continuada</t>
  </si>
  <si>
    <t xml:space="preserve">ROE simples (LL continuado / PL final)</t>
  </si>
  <si>
    <t xml:space="preserve">Release usa PL médio/critério próprio (10,5%).</t>
  </si>
  <si>
    <t xml:space="preserve">Prazo médio de recebimento (clientes CP+LP / ROL x 365)</t>
  </si>
  <si>
    <t xml:space="preserve">Dias. ROL é líquida de tributos: indicador aproximado.</t>
  </si>
  <si>
    <t xml:space="preserve">Intangível / ativo total</t>
  </si>
  <si>
    <t xml:space="preserve">Conta de maior saldo do ativo (PT BS-01).</t>
  </si>
  <si>
    <t xml:space="preserve">Amortização+depreciação / (imobilizado+intangível) inicial</t>
  </si>
  <si>
    <t xml:space="preserve">Taxa média implícita - comparação com taxas regulatórias.</t>
  </si>
  <si>
    <t xml:space="preserve">Provisões para litígios: variação %</t>
  </si>
  <si>
    <t xml:space="preserve">Quase dobrou (+102%) - risco significativo (PT 315.2).</t>
  </si>
  <si>
    <t xml:space="preserve">Materialidade - PT 320 (NBC TA 320 (R1), itens 10, 11 e 14)</t>
  </si>
  <si>
    <t xml:space="preserve">Referencial (2025)</t>
  </si>
  <si>
    <t xml:space="preserve">Valor (R$ mil)</t>
  </si>
  <si>
    <t xml:space="preserve">% aplicado</t>
  </si>
  <si>
    <t xml:space="preserve">Resultado (R$ mil)</t>
  </si>
  <si>
    <t xml:space="preserve">Comentário</t>
  </si>
  <si>
    <t xml:space="preserve">Lucro antes do IR e CSLL - operações continuadas</t>
  </si>
  <si>
    <t xml:space="preserve">ESCOLHIDO: entidade com fins lucrativos, lucro estável e foco dos usuários (dividendos, payout).</t>
  </si>
  <si>
    <t xml:space="preserve">Alternativo: receita inclui repasses (energia comprada, construção) sem margem.</t>
  </si>
  <si>
    <t xml:space="preserve">Patrimônio líquido</t>
  </si>
  <si>
    <t xml:space="preserve">Alternativo.</t>
  </si>
  <si>
    <t xml:space="preserve">Ativo total</t>
  </si>
  <si>
    <t xml:space="preserve">Alternativo: intensivo em ativos regulados.</t>
  </si>
  <si>
    <t xml:space="preserve">EBITDA</t>
  </si>
  <si>
    <t xml:space="preserve">Alternativo: métrica usada pelo mercado e por covenants.</t>
  </si>
  <si>
    <t xml:space="preserve">Materialidade global (MG) - arredondada</t>
  </si>
  <si>
    <t xml:space="preserve">% para materialidade de execução (ME)</t>
  </si>
  <si>
    <t xml:space="preserve">Materialidade para execução (ME)</t>
  </si>
  <si>
    <t xml:space="preserve">% limite de distorção claramente trivial</t>
  </si>
  <si>
    <t xml:space="preserve">Limite claramente trivial</t>
  </si>
  <si>
    <t xml:space="preserve">MG em % do lucro líquido continuado</t>
  </si>
  <si>
    <t xml:space="preserve">MG em % do ativo total</t>
  </si>
  <si>
    <t xml:space="preserve">Materialidade específica (menor) - remuneração do pessoal-chave e partes relacionadas: avaliação qualitativa, qualquer distorção é relevante por natureza (NBC TA 320, item 10).</t>
  </si>
  <si>
    <t xml:space="preserve">Checagem com o código Python (02_testes_auditoria.py): MG / ME / trivial</t>
  </si>
  <si>
    <t xml:space="preserve">Contas acima da materialidade de execução - PT 315.2 / PT 330</t>
  </si>
  <si>
    <t xml:space="preserve">|Var| R$</t>
  </si>
  <si>
    <t xml:space="preserve">Classificação</t>
  </si>
  <si>
    <t xml:space="preserve">Grupo</t>
  </si>
  <si>
    <t xml:space="preserve">Realizável LP</t>
  </si>
  <si>
    <t xml:space="preserve">Ativo não circulante</t>
  </si>
  <si>
    <t xml:space="preserve">Contas significativas (contagem)</t>
  </si>
  <si>
    <t xml:space="preserve">Conciliação da base SINTÉTICA com o saldo contábil - PT BS-04</t>
  </si>
  <si>
    <t xml:space="preserve">DADOS SINTÉTICOS: totais por subconta extraídos de resultados/resultados_testes.json (T01). Categorias da NE 16 (F17) e subtotal GeT (F15) são reais; divisão interna da geração é hipótese (PT BS-02).</t>
  </si>
  <si>
    <t xml:space="preserve">Subconta</t>
  </si>
  <si>
    <t xml:space="preserve">Descrição</t>
  </si>
  <si>
    <t xml:space="preserve">Linhas</t>
  </si>
  <si>
    <t xml:space="preserve">Custo (R$)</t>
  </si>
  <si>
    <t xml:space="preserve">Amortização (R$)</t>
  </si>
  <si>
    <t xml:space="preserve">Valor líquido (R$)</t>
  </si>
  <si>
    <t xml:space="preserve">INT-AUO</t>
  </si>
  <si>
    <t xml:space="preserve">Direito de autorização - demais empresas - por diferença F17-F15</t>
  </si>
  <si>
    <t xml:space="preserve">INT-BON</t>
  </si>
  <si>
    <t xml:space="preserve">Bônus de outorga - usinas renovadas</t>
  </si>
  <si>
    <t xml:space="preserve">INT-CNB</t>
  </si>
  <si>
    <t xml:space="preserve">Combinação de negócios (UHE Mauá)</t>
  </si>
  <si>
    <t xml:space="preserve">INT-DIS</t>
  </si>
  <si>
    <t xml:space="preserve">Contrato de concessão - distribuição (real: F17)</t>
  </si>
  <si>
    <t xml:space="preserve">INT-EOL</t>
  </si>
  <si>
    <t xml:space="preserve">Direito de concessão e autorização / ágio técnico - eólicas (real: F15)</t>
  </si>
  <si>
    <t xml:space="preserve">INT-GSF</t>
  </si>
  <si>
    <t xml:space="preserve">Repactuação do risco hidrológico (GSF)</t>
  </si>
  <si>
    <t xml:space="preserve">INT-SGT</t>
  </si>
  <si>
    <t xml:space="preserve">Softwares e outros - Copel GeT (real: F15)</t>
  </si>
  <si>
    <t xml:space="preserve">INT-SOF</t>
  </si>
  <si>
    <t xml:space="preserve">Softwares e outros - demais empresas</t>
  </si>
  <si>
    <t xml:space="preserve">INT-UBE</t>
  </si>
  <si>
    <t xml:space="preserve">Geração fora da Copel GeT (Elejor e outras) - por diferença F17-F15</t>
  </si>
  <si>
    <t xml:space="preserve">INT-UBP</t>
  </si>
  <si>
    <t xml:space="preserve">Uso do bem público (UBP)</t>
  </si>
  <si>
    <t xml:space="preserve">Total da base sintética</t>
  </si>
  <si>
    <t xml:space="preserve">Saldo contábil - Intangível consolidado 31/12/2025 (R$ mil x 1.000)</t>
  </si>
  <si>
    <t xml:space="preserve">Diferença (base - contábil)</t>
  </si>
  <si>
    <t xml:space="preserve">Conclusão</t>
  </si>
  <si>
    <t xml:space="preserve">Âncora verificável: Intangível da controlada F.D.A. (F07, p. 8) alocado ao registro de Foz do Areia na base (R$ mil)</t>
  </si>
  <si>
    <t xml:space="preserve">Variação do intangível no exercício (R$ mil) - movimentação a obter na nota explicativa (P)</t>
  </si>
  <si>
    <t xml:space="preserve">Adições ao intangível na DFC (R$ mil) - a diferença indica transferências de ativos de contrato e combinação de negócios (sem efeito caixa)</t>
  </si>
  <si>
    <t xml:space="preserve">Subtotal do segmento Copel GeT na base (R$)</t>
  </si>
  <si>
    <t xml:space="preserve">Intangível consolidado da Copel GeT em 31/12/2025 - F15, ITR 1T26, NE 15, p. 21 (R$)</t>
  </si>
  <si>
    <t xml:space="preserve">Diferença (base - F15)</t>
  </si>
  <si>
    <t xml:space="preserve">Categoria NE 16</t>
  </si>
  <si>
    <t xml:space="preserve">Base (R$)</t>
  </si>
  <si>
    <t xml:space="preserve">NE 16 - F17 (R$)</t>
  </si>
  <si>
    <t xml:space="preserve">Diferença</t>
  </si>
  <si>
    <t xml:space="preserve">Distribuição</t>
  </si>
  <si>
    <t xml:space="preserve">Geração</t>
  </si>
  <si>
    <t xml:space="preserve">Direito de concessão e autorização</t>
  </si>
  <si>
    <t xml:space="preserve">Outros intangíveis</t>
  </si>
  <si>
    <t xml:space="preserve">Movimentação real do intangível 2025 - F17, NE 16, p. 91 (R$ mil)</t>
  </si>
  <si>
    <t xml:space="preserve">Saldo em 31.12.2024</t>
  </si>
  <si>
    <t xml:space="preserve">Efeito de combinação de negócios</t>
  </si>
  <si>
    <t xml:space="preserve">Outorga Aneel - uso do bem público</t>
  </si>
  <si>
    <t xml:space="preserve">Aquisições</t>
  </si>
  <si>
    <t xml:space="preserve">Quotas de amortização</t>
  </si>
  <si>
    <t xml:space="preserve">Transferências de ativos de contrato</t>
  </si>
  <si>
    <t xml:space="preserve">Baixas</t>
  </si>
  <si>
    <t xml:space="preserve">Reclassificação para mantidos para venda</t>
  </si>
  <si>
    <t xml:space="preserve">Saldo recalculado em 31.12.2025</t>
  </si>
  <si>
    <t xml:space="preserve">Confere com o balanço?</t>
  </si>
  <si>
    <t xml:space="preserve">Amostragem por unidade monetária - parâmetros (SIMULADO) - PT 530</t>
  </si>
  <si>
    <t xml:space="preserve">Valor contábil da população com saldo positivo (R$)</t>
  </si>
  <si>
    <t xml:space="preserve">Base sintética, T11.</t>
  </si>
  <si>
    <t xml:space="preserve">Distorção tolerável (R$) = ME x 1.000</t>
  </si>
  <si>
    <t xml:space="preserve">Vinculada à materialidade de execução.</t>
  </si>
  <si>
    <t xml:space="preserve">% distorção esperada sobre a tolerável</t>
  </si>
  <si>
    <t xml:space="preserve">Premissa (fill amarelo).</t>
  </si>
  <si>
    <t xml:space="preserve">Distorção esperada (R$)</t>
  </si>
  <si>
    <t xml:space="preserve">Fator de confiabilidade (95%, zero erros)</t>
  </si>
  <si>
    <t xml:space="preserve">Poisson.</t>
  </si>
  <si>
    <t xml:space="preserve">Fator de expansão</t>
  </si>
  <si>
    <t xml:space="preserve">Tabela AICPA, 95%.</t>
  </si>
  <si>
    <t xml:space="preserve">Tamanho da amostra n</t>
  </si>
  <si>
    <t xml:space="preserve">Intervalo amostral J (R$)</t>
  </si>
  <si>
    <t xml:space="preserve">Início aleatório (R$) - semente 232025417</t>
  </si>
  <si>
    <t xml:space="preserve">Checagem: n do código Python</t>
  </si>
  <si>
    <t xml:space="preserve">Conferência</t>
  </si>
  <si>
    <t xml:space="preserve">Itens selecionados únicos (há itens maiores que J)</t>
  </si>
  <si>
    <t xml:space="preserve">Itens-chave (valor &gt;= J) - 100% examinados</t>
  </si>
  <si>
    <t xml:space="preserve">Registros com valor &lt;= 0 excluídos (testados por CAAT, T02)</t>
  </si>
  <si>
    <t xml:space="preserve">Inclui bens totalmente amortizados (valor zero) e 40 negativos.</t>
  </si>
  <si>
    <t xml:space="preserve">Itens selecionados - inspeção SIMULADA (valor auditado vem do gabarito)</t>
  </si>
  <si>
    <t xml:space="preserve">id_registro (SINT)</t>
  </si>
  <si>
    <t xml:space="preserve">Tipo de bem</t>
  </si>
  <si>
    <t xml:space="preserve">Status</t>
  </si>
  <si>
    <t xml:space="preserve">Valor contábil (R$)</t>
  </si>
  <si>
    <t xml:space="preserve">Item-chave</t>
  </si>
  <si>
    <t xml:space="preserve">Valor auditado simulado (R$)</t>
  </si>
  <si>
    <t xml:space="preserve">Distorção (R$)</t>
  </si>
  <si>
    <t xml:space="preserve">Contaminação</t>
  </si>
  <si>
    <t xml:space="preserve">SINT-0000521</t>
  </si>
  <si>
    <t xml:space="preserve">Trecho de linha de distribuição AT (138 kV)</t>
  </si>
  <si>
    <t xml:space="preserve">Em serviço</t>
  </si>
  <si>
    <t xml:space="preserve">SINT-0000761</t>
  </si>
  <si>
    <t xml:space="preserve">UHE Gov. Bento Munhoz da Rocha Netto (Foz do Areia) - F.D.A.</t>
  </si>
  <si>
    <t xml:space="preserve">SINT-0001458</t>
  </si>
  <si>
    <t xml:space="preserve">SINT-0002294</t>
  </si>
  <si>
    <t xml:space="preserve">Autorização eólica - Parque 29 (sintético)</t>
  </si>
  <si>
    <t xml:space="preserve">SINT-0003873</t>
  </si>
  <si>
    <t xml:space="preserve">Trecho de rede trifásica rural (MT)</t>
  </si>
  <si>
    <t xml:space="preserve">SINT-0004357</t>
  </si>
  <si>
    <t xml:space="preserve">SINT-0005780</t>
  </si>
  <si>
    <t xml:space="preserve">Edificação operacional</t>
  </si>
  <si>
    <t xml:space="preserve">SINT-0006857</t>
  </si>
  <si>
    <t xml:space="preserve">Religador / chave automatizada</t>
  </si>
  <si>
    <t xml:space="preserve">SINT-0008093</t>
  </si>
  <si>
    <t xml:space="preserve">Equipamento de subestação de distribuição</t>
  </si>
  <si>
    <t xml:space="preserve">SINT-0009736</t>
  </si>
  <si>
    <t xml:space="preserve">SINT-0010187</t>
  </si>
  <si>
    <t xml:space="preserve">Direito de concessão - UHE Mauá (mais-valia alocada)</t>
  </si>
  <si>
    <t xml:space="preserve">SINT-0010279</t>
  </si>
  <si>
    <t xml:space="preserve">SINT-0011655</t>
  </si>
  <si>
    <t xml:space="preserve">SINT-0013154</t>
  </si>
  <si>
    <t xml:space="preserve">SINT-0014097</t>
  </si>
  <si>
    <t xml:space="preserve">Autorização eólica - Parque 38 (sintético)</t>
  </si>
  <si>
    <t xml:space="preserve">SINT-0014325</t>
  </si>
  <si>
    <t xml:space="preserve">SINT-0015672</t>
  </si>
  <si>
    <t xml:space="preserve">SINT-0016410</t>
  </si>
  <si>
    <t xml:space="preserve">SINT-0017942</t>
  </si>
  <si>
    <t xml:space="preserve">SINT-0019203</t>
  </si>
  <si>
    <t xml:space="preserve">SINT-0020764</t>
  </si>
  <si>
    <t xml:space="preserve">SINT-0022509</t>
  </si>
  <si>
    <t xml:space="preserve">SINT-0023764</t>
  </si>
  <si>
    <t xml:space="preserve">Autorização eólica - Parque 16 (sintético)</t>
  </si>
  <si>
    <t xml:space="preserve">SINT-0023984</t>
  </si>
  <si>
    <t xml:space="preserve">SINT-0025597</t>
  </si>
  <si>
    <t xml:space="preserve">SINT-0027369</t>
  </si>
  <si>
    <t xml:space="preserve">SINT-0027891</t>
  </si>
  <si>
    <t xml:space="preserve">Autorização eólica - Parque 08 (sintético)</t>
  </si>
  <si>
    <t xml:space="preserve">SINT-0029559</t>
  </si>
  <si>
    <t xml:space="preserve">SINT-0031117</t>
  </si>
  <si>
    <t xml:space="preserve">SINT-0032568</t>
  </si>
  <si>
    <t xml:space="preserve">SINT-0032664</t>
  </si>
  <si>
    <t xml:space="preserve">UHE Gov. José Richa (Salto Caxias)</t>
  </si>
  <si>
    <t xml:space="preserve">SINT-0033411</t>
  </si>
  <si>
    <t xml:space="preserve">SINT-0034584</t>
  </si>
  <si>
    <t xml:space="preserve">SINT-0035910</t>
  </si>
  <si>
    <t xml:space="preserve">SINT-0037627</t>
  </si>
  <si>
    <t xml:space="preserve">SINT-0038614</t>
  </si>
  <si>
    <t xml:space="preserve">SINT-0039883</t>
  </si>
  <si>
    <t xml:space="preserve">SINT-0040181</t>
  </si>
  <si>
    <t xml:space="preserve">Autorização eólica - Parque 23 (sintético)</t>
  </si>
  <si>
    <t xml:space="preserve">SINT-0040581</t>
  </si>
  <si>
    <t xml:space="preserve">Autorização eólica - Parque 03 (sintético)</t>
  </si>
  <si>
    <t xml:space="preserve">SINT-0040654</t>
  </si>
  <si>
    <t xml:space="preserve">SINT-0041729</t>
  </si>
  <si>
    <t xml:space="preserve">SINT-0042903</t>
  </si>
  <si>
    <t xml:space="preserve">SINT-0044946</t>
  </si>
  <si>
    <t xml:space="preserve">SINT-0046649</t>
  </si>
  <si>
    <t xml:space="preserve">Transformador de distribuição</t>
  </si>
  <si>
    <t xml:space="preserve">SINT-0047471</t>
  </si>
  <si>
    <t xml:space="preserve">SINT-0048901</t>
  </si>
  <si>
    <t xml:space="preserve">SINT-0049935</t>
  </si>
  <si>
    <t xml:space="preserve">SINT-0051167</t>
  </si>
  <si>
    <t xml:space="preserve">SINT-0052697</t>
  </si>
  <si>
    <t xml:space="preserve">SINT-0053973</t>
  </si>
  <si>
    <t xml:space="preserve">SINT-0055390</t>
  </si>
  <si>
    <t xml:space="preserve">SINT-0056311</t>
  </si>
  <si>
    <t xml:space="preserve">SINT-0057522</t>
  </si>
  <si>
    <t xml:space="preserve">SINT-0058495</t>
  </si>
  <si>
    <t xml:space="preserve">SINT-0059492</t>
  </si>
  <si>
    <t xml:space="preserve">SINT-0060908</t>
  </si>
  <si>
    <t xml:space="preserve">SINT-0062290</t>
  </si>
  <si>
    <t xml:space="preserve">SINT-0064099</t>
  </si>
  <si>
    <t xml:space="preserve">SINT-0065124</t>
  </si>
  <si>
    <t xml:space="preserve">SINT-0066176</t>
  </si>
  <si>
    <t xml:space="preserve">SINT-0067259</t>
  </si>
  <si>
    <t xml:space="preserve">SINT-0068826</t>
  </si>
  <si>
    <t xml:space="preserve">SINT-0070389</t>
  </si>
  <si>
    <t xml:space="preserve">Autorização eólica - Parque 37 (sintético)</t>
  </si>
  <si>
    <t xml:space="preserve">SINT-0070678</t>
  </si>
  <si>
    <t xml:space="preserve">Autorização eólica - Parque 20 (sintético)</t>
  </si>
  <si>
    <t xml:space="preserve">SINT-0070986</t>
  </si>
  <si>
    <t xml:space="preserve">SINT-0071523</t>
  </si>
  <si>
    <t xml:space="preserve">Autorização eólica - Parque 05 (sintético)</t>
  </si>
  <si>
    <t xml:space="preserve">SINT-0072804</t>
  </si>
  <si>
    <t xml:space="preserve">SINT-0073710</t>
  </si>
  <si>
    <t xml:space="preserve">Autorização eólica - Parque 19 (sintético)</t>
  </si>
  <si>
    <t xml:space="preserve">SINT-0074288</t>
  </si>
  <si>
    <t xml:space="preserve">SINT-0075197</t>
  </si>
  <si>
    <t xml:space="preserve">SINT-0076493</t>
  </si>
  <si>
    <t xml:space="preserve">SINT-0077993</t>
  </si>
  <si>
    <t xml:space="preserve">SINT-0079503</t>
  </si>
  <si>
    <t xml:space="preserve">SINT-0081256</t>
  </si>
  <si>
    <t xml:space="preserve">SINT-0083040</t>
  </si>
  <si>
    <t xml:space="preserve">SINT-0084412</t>
  </si>
  <si>
    <t xml:space="preserve">SINT-0085698</t>
  </si>
  <si>
    <t xml:space="preserve">SINT-0087083</t>
  </si>
  <si>
    <t xml:space="preserve">SINT-0088489</t>
  </si>
  <si>
    <t xml:space="preserve">SINT-0089626</t>
  </si>
  <si>
    <t xml:space="preserve">SINT-0091396</t>
  </si>
  <si>
    <t xml:space="preserve">SINT-0092598</t>
  </si>
  <si>
    <t xml:space="preserve">SINT-0093750</t>
  </si>
  <si>
    <t xml:space="preserve">SINT-0095097</t>
  </si>
  <si>
    <t xml:space="preserve">SINT-0095317</t>
  </si>
  <si>
    <t xml:space="preserve">UBP - UHE Mauá</t>
  </si>
  <si>
    <t xml:space="preserve">SINT-0096391</t>
  </si>
  <si>
    <t xml:space="preserve">SINT-0097862</t>
  </si>
  <si>
    <t xml:space="preserve">SINT-0098958</t>
  </si>
  <si>
    <t xml:space="preserve">SINT-0100352</t>
  </si>
  <si>
    <t xml:space="preserve">SINT-0101930</t>
  </si>
  <si>
    <t xml:space="preserve">SINT-0103299</t>
  </si>
  <si>
    <t xml:space="preserve">SINT-0104767</t>
  </si>
  <si>
    <t xml:space="preserve">SINT-0106237</t>
  </si>
  <si>
    <t xml:space="preserve">Autorização eólica - Parque 31 (sintético)</t>
  </si>
  <si>
    <t xml:space="preserve">SINT-0106961</t>
  </si>
  <si>
    <t xml:space="preserve">SINT-0107137</t>
  </si>
  <si>
    <t xml:space="preserve">Autorização eólica - Parque 39 (sintético)</t>
  </si>
  <si>
    <t xml:space="preserve">SINT-0107969</t>
  </si>
  <si>
    <t xml:space="preserve">SINT-0109254</t>
  </si>
  <si>
    <t xml:space="preserve">SINT-0110661</t>
  </si>
  <si>
    <t xml:space="preserve">SINT-0112265</t>
  </si>
  <si>
    <t xml:space="preserve">SINT-0113005</t>
  </si>
  <si>
    <t xml:space="preserve">Extensão de outorga GSF - Mauá</t>
  </si>
  <si>
    <t xml:space="preserve">SINT-0113731</t>
  </si>
  <si>
    <t xml:space="preserve">SINT-0115315</t>
  </si>
  <si>
    <t xml:space="preserve">SINT-0116748</t>
  </si>
  <si>
    <t xml:space="preserve">SINT-0117189</t>
  </si>
  <si>
    <t xml:space="preserve">Autorização eólica - Parque 09 (sintético)</t>
  </si>
  <si>
    <t xml:space="preserve">SINT-0117946</t>
  </si>
  <si>
    <t xml:space="preserve">SINT-0119087</t>
  </si>
  <si>
    <t xml:space="preserve">Poste de concreto</t>
  </si>
  <si>
    <t xml:space="preserve">SINT-0119963</t>
  </si>
  <si>
    <t xml:space="preserve">Autorização eólica - Parque 40 (sintético)</t>
  </si>
  <si>
    <t xml:space="preserve">SINT-0120594</t>
  </si>
  <si>
    <t xml:space="preserve">SINT-0122601</t>
  </si>
  <si>
    <t xml:space="preserve">SINT-0123505</t>
  </si>
  <si>
    <t xml:space="preserve">SINT-0124794</t>
  </si>
  <si>
    <t xml:space="preserve">SINT-0125832</t>
  </si>
  <si>
    <t xml:space="preserve">Autorização eólica - Parque 11 (sintético)</t>
  </si>
  <si>
    <t xml:space="preserve">SINT-0127015</t>
  </si>
  <si>
    <t xml:space="preserve">SINT-0128127</t>
  </si>
  <si>
    <t xml:space="preserve">SINT-0129652</t>
  </si>
  <si>
    <t xml:space="preserve">SINT-0131188</t>
  </si>
  <si>
    <t xml:space="preserve">SINT-0132427</t>
  </si>
  <si>
    <t xml:space="preserve">SINT-0134002</t>
  </si>
  <si>
    <t xml:space="preserve">SINT-0135534</t>
  </si>
  <si>
    <t xml:space="preserve">SINT-0135756</t>
  </si>
  <si>
    <t xml:space="preserve">UBP - UHE Santa Clara (Elejor)</t>
  </si>
  <si>
    <t xml:space="preserve">SINT-0136356</t>
  </si>
  <si>
    <t xml:space="preserve">SINT-0137673</t>
  </si>
  <si>
    <t xml:space="preserve">SINT-0139019</t>
  </si>
  <si>
    <t xml:space="preserve">SINT-0140174</t>
  </si>
  <si>
    <t xml:space="preserve">SINT-0141119</t>
  </si>
  <si>
    <t xml:space="preserve">SINT-0142259</t>
  </si>
  <si>
    <t xml:space="preserve">SINT-0143522</t>
  </si>
  <si>
    <t xml:space="preserve">SINT-0145034</t>
  </si>
  <si>
    <t xml:space="preserve">SINT-0146565</t>
  </si>
  <si>
    <t xml:space="preserve">SINT-0147524</t>
  </si>
  <si>
    <t xml:space="preserve">SINT-0148288</t>
  </si>
  <si>
    <t xml:space="preserve">SINT-0149630</t>
  </si>
  <si>
    <t xml:space="preserve">SINT-0151469</t>
  </si>
  <si>
    <t xml:space="preserve">SINT-0153006</t>
  </si>
  <si>
    <t xml:space="preserve">SINT-0153997</t>
  </si>
  <si>
    <t xml:space="preserve">SINT-0155245</t>
  </si>
  <si>
    <t xml:space="preserve">SINT-0156907</t>
  </si>
  <si>
    <t xml:space="preserve">SINT-0158149</t>
  </si>
  <si>
    <t xml:space="preserve">SINT-0159313</t>
  </si>
  <si>
    <t xml:space="preserve">SINT-0160786</t>
  </si>
  <si>
    <t xml:space="preserve">SINT-0162154</t>
  </si>
  <si>
    <t xml:space="preserve">SINT-0163382</t>
  </si>
  <si>
    <t xml:space="preserve">SINT-0164476</t>
  </si>
  <si>
    <t xml:space="preserve">SINT-0166548</t>
  </si>
  <si>
    <t xml:space="preserve">SINT-0168201</t>
  </si>
  <si>
    <t xml:space="preserve">SINT-0169536</t>
  </si>
  <si>
    <t xml:space="preserve">SINT-0170860</t>
  </si>
  <si>
    <t xml:space="preserve">SINT-0171894</t>
  </si>
  <si>
    <t xml:space="preserve">SINT-0173411</t>
  </si>
  <si>
    <t xml:space="preserve">SINT-0174686</t>
  </si>
  <si>
    <t xml:space="preserve">SINT-0176021</t>
  </si>
  <si>
    <t xml:space="preserve">SINT-0177375</t>
  </si>
  <si>
    <t xml:space="preserve">SINT-0178977</t>
  </si>
  <si>
    <t xml:space="preserve">SINT-0179695</t>
  </si>
  <si>
    <t xml:space="preserve">UBP - PCH Bela Vista</t>
  </si>
  <si>
    <t xml:space="preserve">SINT-0181043</t>
  </si>
  <si>
    <t xml:space="preserve">SINT-0182454</t>
  </si>
  <si>
    <t xml:space="preserve">SINT-0184237</t>
  </si>
  <si>
    <t xml:space="preserve">SINT-0185600</t>
  </si>
  <si>
    <t xml:space="preserve">SINT-0187450</t>
  </si>
  <si>
    <t xml:space="preserve">SINT-0188008</t>
  </si>
  <si>
    <t xml:space="preserve">Autorização eólica - Parque 21 (sintético)</t>
  </si>
  <si>
    <t xml:space="preserve">SINT-0188638</t>
  </si>
  <si>
    <t xml:space="preserve">SINT-0189941</t>
  </si>
  <si>
    <t xml:space="preserve">SINT-0191286</t>
  </si>
  <si>
    <t xml:space="preserve">SINT-0192510</t>
  </si>
  <si>
    <t xml:space="preserve">SINT-0194515</t>
  </si>
  <si>
    <t xml:space="preserve">SINT-0195259</t>
  </si>
  <si>
    <t xml:space="preserve">SINT-0196970</t>
  </si>
  <si>
    <t xml:space="preserve">SINT-0197878</t>
  </si>
  <si>
    <t xml:space="preserve">SINT-0199407</t>
  </si>
  <si>
    <t xml:space="preserve">SINT-0200627</t>
  </si>
  <si>
    <t xml:space="preserve">SINT-0201515</t>
  </si>
  <si>
    <t xml:space="preserve">SINT-0202654</t>
  </si>
  <si>
    <t xml:space="preserve">SINT-0203550</t>
  </si>
  <si>
    <t xml:space="preserve">SINT-0204813</t>
  </si>
  <si>
    <t xml:space="preserve">SINT-0206590</t>
  </si>
  <si>
    <t xml:space="preserve">SINT-0208098</t>
  </si>
  <si>
    <t xml:space="preserve">SINT-0209651</t>
  </si>
  <si>
    <t xml:space="preserve">SINT-0211032</t>
  </si>
  <si>
    <t xml:space="preserve">SINT-0211067</t>
  </si>
  <si>
    <t xml:space="preserve">Autorização eólica - Parque 35 (sintético)</t>
  </si>
  <si>
    <t xml:space="preserve">SINT-0212183</t>
  </si>
  <si>
    <t xml:space="preserve">SINT-0213815</t>
  </si>
  <si>
    <t xml:space="preserve">SINT-0215219</t>
  </si>
  <si>
    <t xml:space="preserve">SINT-0216379</t>
  </si>
  <si>
    <t xml:space="preserve">SINT-0217770</t>
  </si>
  <si>
    <t xml:space="preserve">SINT-0219410</t>
  </si>
  <si>
    <t xml:space="preserve">SINT-0220556</t>
  </si>
  <si>
    <t xml:space="preserve">SINT-0221980</t>
  </si>
  <si>
    <t xml:space="preserve">SINT-0223108</t>
  </si>
  <si>
    <t xml:space="preserve">SINT-0224874</t>
  </si>
  <si>
    <t xml:space="preserve">SINT-0226206</t>
  </si>
  <si>
    <t xml:space="preserve">Sistema de telecomunicação e automação (Smart Grid)</t>
  </si>
  <si>
    <t xml:space="preserve">SINT-0227265</t>
  </si>
  <si>
    <t xml:space="preserve">SINT-0228506</t>
  </si>
  <si>
    <t xml:space="preserve">SINT-0228858</t>
  </si>
  <si>
    <t xml:space="preserve">Autorização eólica - Parque 28 (sintético)</t>
  </si>
  <si>
    <t xml:space="preserve">SINT-0230177</t>
  </si>
  <si>
    <t xml:space="preserve">UBP - UHE Salto Caxias</t>
  </si>
  <si>
    <t xml:space="preserve">SINT-0230788</t>
  </si>
  <si>
    <t xml:space="preserve">Autorização eólica - Parque 26 (sintético)</t>
  </si>
  <si>
    <t xml:space="preserve">SINT-0231946</t>
  </si>
  <si>
    <t xml:space="preserve">SINT-0233486</t>
  </si>
  <si>
    <t xml:space="preserve">Extensão de outorga GSF - Santa Clara</t>
  </si>
  <si>
    <t xml:space="preserve">SINT-0233520</t>
  </si>
  <si>
    <t xml:space="preserve">SINT-0234968</t>
  </si>
  <si>
    <t xml:space="preserve">SINT-0235999</t>
  </si>
  <si>
    <t xml:space="preserve">SINT-0237532</t>
  </si>
  <si>
    <t xml:space="preserve">SINT-0238926</t>
  </si>
  <si>
    <t xml:space="preserve">SINT-0239632</t>
  </si>
  <si>
    <t xml:space="preserve">SINT-0241432</t>
  </si>
  <si>
    <t xml:space="preserve">SINT-0242560</t>
  </si>
  <si>
    <t xml:space="preserve">SINT-0243926</t>
  </si>
  <si>
    <t xml:space="preserve">SINT-0244415</t>
  </si>
  <si>
    <t xml:space="preserve">Autorização eólica - Parque 36 (sintético)</t>
  </si>
  <si>
    <t xml:space="preserve">SINT-0244969</t>
  </si>
  <si>
    <t xml:space="preserve">SINT-0246051</t>
  </si>
  <si>
    <t xml:space="preserve">SINT-0247601</t>
  </si>
  <si>
    <t xml:space="preserve">SINT-0249095</t>
  </si>
  <si>
    <t xml:space="preserve">SINT-0250235</t>
  </si>
  <si>
    <t xml:space="preserve">SINT-0250681</t>
  </si>
  <si>
    <t xml:space="preserve">SINT-0251825</t>
  </si>
  <si>
    <t xml:space="preserve">Medidor eletrônico inteligente</t>
  </si>
  <si>
    <t xml:space="preserve">SINT-0253462</t>
  </si>
  <si>
    <t xml:space="preserve">SINT-0255051</t>
  </si>
  <si>
    <t xml:space="preserve">SINT-0256246</t>
  </si>
  <si>
    <t xml:space="preserve">SINT-0257890</t>
  </si>
  <si>
    <t xml:space="preserve">SINT-0259760</t>
  </si>
  <si>
    <t xml:space="preserve">SINT-0260618</t>
  </si>
  <si>
    <t xml:space="preserve">SINT-0262483</t>
  </si>
  <si>
    <t xml:space="preserve">SINT-0264293</t>
  </si>
  <si>
    <t xml:space="preserve">SINT-0265408</t>
  </si>
  <si>
    <t xml:space="preserve">SINT-0266648</t>
  </si>
  <si>
    <t xml:space="preserve">SINT-0268353</t>
  </si>
  <si>
    <t xml:space="preserve">SINT-0269630</t>
  </si>
  <si>
    <t xml:space="preserve">SINT-0270863</t>
  </si>
  <si>
    <t xml:space="preserve">SINT-0272425</t>
  </si>
  <si>
    <t xml:space="preserve">SINT-0274053</t>
  </si>
  <si>
    <t xml:space="preserve">SINT-0275511</t>
  </si>
  <si>
    <t xml:space="preserve">SINT-0277087</t>
  </si>
  <si>
    <t xml:space="preserve">SINT-0277944</t>
  </si>
  <si>
    <t xml:space="preserve">SINT-0279303</t>
  </si>
  <si>
    <t xml:space="preserve">SINT-0280125</t>
  </si>
  <si>
    <t xml:space="preserve">Autorização eólica - Parque 34 (sintético)</t>
  </si>
  <si>
    <t xml:space="preserve">SINT-0280635</t>
  </si>
  <si>
    <t xml:space="preserve">SINT-0281651</t>
  </si>
  <si>
    <t xml:space="preserve">SINT-0282883</t>
  </si>
  <si>
    <t xml:space="preserve">SINT-0284372</t>
  </si>
  <si>
    <t xml:space="preserve">SINT-0285251</t>
  </si>
  <si>
    <t xml:space="preserve">Direito de concessão - UHE Mauá (49% adquiridos)</t>
  </si>
  <si>
    <t xml:space="preserve">SINT-0285304</t>
  </si>
  <si>
    <t xml:space="preserve">SINT-0286385</t>
  </si>
  <si>
    <t xml:space="preserve">SINT-0287253</t>
  </si>
  <si>
    <t xml:space="preserve">UHE Gov. Ney Braga (Segredo)</t>
  </si>
  <si>
    <t xml:space="preserve">SINT-0287513</t>
  </si>
  <si>
    <t xml:space="preserve">SINT-0289085</t>
  </si>
  <si>
    <t xml:space="preserve">SINT-0289564</t>
  </si>
  <si>
    <t xml:space="preserve">Autorização eólica - Parque 17 (sintético)</t>
  </si>
  <si>
    <t xml:space="preserve">SINT-0290387</t>
  </si>
  <si>
    <t xml:space="preserve">Autorização eólica - Parque 04 (sintético)</t>
  </si>
  <si>
    <t xml:space="preserve">SINT-0290500</t>
  </si>
  <si>
    <t xml:space="preserve">SINT-0291716</t>
  </si>
  <si>
    <t xml:space="preserve">SINT-0292626</t>
  </si>
  <si>
    <t xml:space="preserve">Autorização eólica - Parque 02 (sintético)</t>
  </si>
  <si>
    <t xml:space="preserve">SINT-0293082</t>
  </si>
  <si>
    <t xml:space="preserve">SINT-0294455</t>
  </si>
  <si>
    <t xml:space="preserve">SINT-0296074</t>
  </si>
  <si>
    <t xml:space="preserve">SINT-0298096</t>
  </si>
  <si>
    <t xml:space="preserve">SINT-0299679</t>
  </si>
  <si>
    <t xml:space="preserve">SINT-0300659</t>
  </si>
  <si>
    <t xml:space="preserve">SINT-0301434</t>
  </si>
  <si>
    <t xml:space="preserve">SINT-0302685</t>
  </si>
  <si>
    <t xml:space="preserve">SINT-0303740</t>
  </si>
  <si>
    <t xml:space="preserve">SINT-0305247</t>
  </si>
  <si>
    <t xml:space="preserve">SINT-0306219</t>
  </si>
  <si>
    <t xml:space="preserve">SINT-0307526</t>
  </si>
  <si>
    <t xml:space="preserve">SINT-0309156</t>
  </si>
  <si>
    <t xml:space="preserve">SINT-0310816</t>
  </si>
  <si>
    <t xml:space="preserve">SINT-0311953</t>
  </si>
  <si>
    <t xml:space="preserve">SINT-0313516</t>
  </si>
  <si>
    <t xml:space="preserve">Extensão de outorga GSF - Bela Vista</t>
  </si>
  <si>
    <t xml:space="preserve">SINT-0314160</t>
  </si>
  <si>
    <t xml:space="preserve">SINT-0314342</t>
  </si>
  <si>
    <t xml:space="preserve">Autorização eólica - Parque 06 (sintético)</t>
  </si>
  <si>
    <t xml:space="preserve">SINT-0314812</t>
  </si>
  <si>
    <t xml:space="preserve">Extensão de outorga GSF - Segredo</t>
  </si>
  <si>
    <t xml:space="preserve">SINT-0315472</t>
  </si>
  <si>
    <t xml:space="preserve">SINT-0316957</t>
  </si>
  <si>
    <t xml:space="preserve">SINT-0318078</t>
  </si>
  <si>
    <t xml:space="preserve">SINT-0319443</t>
  </si>
  <si>
    <t xml:space="preserve">SINT-0320552</t>
  </si>
  <si>
    <t xml:space="preserve">SINT-0321961</t>
  </si>
  <si>
    <t xml:space="preserve">SINT-0322970</t>
  </si>
  <si>
    <t xml:space="preserve">SINT-0324456</t>
  </si>
  <si>
    <t xml:space="preserve">SINT-0326409</t>
  </si>
  <si>
    <t xml:space="preserve">SINT-0327839</t>
  </si>
  <si>
    <t xml:space="preserve">SINT-0329527</t>
  </si>
  <si>
    <t xml:space="preserve">SINT-0330938</t>
  </si>
  <si>
    <t xml:space="preserve">SINT-0332129</t>
  </si>
  <si>
    <t xml:space="preserve">SINT-0333451</t>
  </si>
  <si>
    <t xml:space="preserve">Autorização eólica - Parque 22 (sintético)</t>
  </si>
  <si>
    <t xml:space="preserve">SINT-0334012</t>
  </si>
  <si>
    <t xml:space="preserve">SINT-0335168</t>
  </si>
  <si>
    <t xml:space="preserve">SINT-0336038</t>
  </si>
  <si>
    <t xml:space="preserve">Autorização eólica - Parque 25 (sintético)</t>
  </si>
  <si>
    <t xml:space="preserve">SINT-0336402</t>
  </si>
  <si>
    <t xml:space="preserve">Extensão de outorga GSF - Foz do Areia</t>
  </si>
  <si>
    <t xml:space="preserve">SINT-0337393</t>
  </si>
  <si>
    <t xml:space="preserve">SINT-0338367</t>
  </si>
  <si>
    <t xml:space="preserve">SINT-0340392</t>
  </si>
  <si>
    <t xml:space="preserve">SINT-0341400</t>
  </si>
  <si>
    <t xml:space="preserve">SINT-0343056</t>
  </si>
  <si>
    <t xml:space="preserve">SINT-0344074</t>
  </si>
  <si>
    <t xml:space="preserve">UBP - UHE Segredo</t>
  </si>
  <si>
    <t xml:space="preserve">SINT-0345029</t>
  </si>
  <si>
    <t xml:space="preserve">SINT-0346518</t>
  </si>
  <si>
    <t xml:space="preserve">SINT-0347996</t>
  </si>
  <si>
    <t xml:space="preserve">SINT-0349838</t>
  </si>
  <si>
    <t xml:space="preserve">SINT-0351231</t>
  </si>
  <si>
    <t xml:space="preserve">SINT-0352615</t>
  </si>
  <si>
    <t xml:space="preserve">SINT-0353400</t>
  </si>
  <si>
    <t xml:space="preserve">SINT-0354909</t>
  </si>
  <si>
    <t xml:space="preserve">SINT-0356697</t>
  </si>
  <si>
    <t xml:space="preserve">SINT-0357672</t>
  </si>
  <si>
    <t xml:space="preserve">SINT-0358798</t>
  </si>
  <si>
    <t xml:space="preserve">SINT-0359928</t>
  </si>
  <si>
    <t xml:space="preserve">SINT-0360247</t>
  </si>
  <si>
    <t xml:space="preserve">Autorização eólica - Parque 41 (sintético)</t>
  </si>
  <si>
    <t xml:space="preserve">SINT-0360890</t>
  </si>
  <si>
    <t xml:space="preserve">SINT-0362587</t>
  </si>
  <si>
    <t xml:space="preserve">SINT-0363839</t>
  </si>
  <si>
    <t xml:space="preserve">SINT-0365091</t>
  </si>
  <si>
    <t xml:space="preserve">SINT-0366221</t>
  </si>
  <si>
    <t xml:space="preserve">SINT-0367285</t>
  </si>
  <si>
    <t xml:space="preserve">SINT-0369475</t>
  </si>
  <si>
    <t xml:space="preserve">SINT-0370951</t>
  </si>
  <si>
    <t xml:space="preserve">SINT-0372717</t>
  </si>
  <si>
    <t xml:space="preserve">SINT-0374344</t>
  </si>
  <si>
    <t xml:space="preserve">Autorização eólica - Parque 30 (sintético)</t>
  </si>
  <si>
    <t xml:space="preserve">SINT-0374606</t>
  </si>
  <si>
    <t xml:space="preserve">SINT-0375825</t>
  </si>
  <si>
    <t xml:space="preserve">SINT-0377122</t>
  </si>
  <si>
    <t xml:space="preserve">SINT-0379131</t>
  </si>
  <si>
    <t xml:space="preserve">SINT-0380419</t>
  </si>
  <si>
    <t xml:space="preserve">SINT-0380469</t>
  </si>
  <si>
    <t xml:space="preserve">Autorização eólica - Parque 10 (sintético)</t>
  </si>
  <si>
    <t xml:space="preserve">SINT-0380780</t>
  </si>
  <si>
    <t xml:space="preserve">SINT-0381436</t>
  </si>
  <si>
    <t xml:space="preserve">Extensão de outorga GSF - Fundão</t>
  </si>
  <si>
    <t xml:space="preserve">SINT-0382290</t>
  </si>
  <si>
    <t xml:space="preserve">SINT-0383141</t>
  </si>
  <si>
    <t xml:space="preserve">Autorização eólica - Parque 12 (sintético)</t>
  </si>
  <si>
    <t xml:space="preserve">SINT-0383471</t>
  </si>
  <si>
    <t xml:space="preserve">SINT-0384822</t>
  </si>
  <si>
    <t xml:space="preserve">SINT-0386423</t>
  </si>
  <si>
    <t xml:space="preserve">SINT-0387755</t>
  </si>
  <si>
    <t xml:space="preserve">SINT-0388498</t>
  </si>
  <si>
    <t xml:space="preserve">SINT-0389943</t>
  </si>
  <si>
    <t xml:space="preserve">SINT-0390901</t>
  </si>
  <si>
    <t xml:space="preserve">SINT-0391784</t>
  </si>
  <si>
    <t xml:space="preserve">Extensão de outorga GSF - Derivação do Rio Jordão</t>
  </si>
  <si>
    <t xml:space="preserve">SINT-0392374</t>
  </si>
  <si>
    <t xml:space="preserve">SINT-0393702</t>
  </si>
  <si>
    <t xml:space="preserve">SINT-0395183</t>
  </si>
  <si>
    <t xml:space="preserve">SINT-0396881</t>
  </si>
  <si>
    <t xml:space="preserve">SINT-0397595</t>
  </si>
  <si>
    <t xml:space="preserve">Autorização eólica - Parque 33 (sintético)</t>
  </si>
  <si>
    <t xml:space="preserve">SINT-0398196</t>
  </si>
  <si>
    <t xml:space="preserve">SINT-0399125</t>
  </si>
  <si>
    <t xml:space="preserve">SINT-0400163</t>
  </si>
  <si>
    <t xml:space="preserve">SINT-0401226</t>
  </si>
  <si>
    <t xml:space="preserve">SINT-0402724</t>
  </si>
  <si>
    <t xml:space="preserve">SINT-0403269</t>
  </si>
  <si>
    <t xml:space="preserve">Autorização eólica - Parque 07 (sintético)</t>
  </si>
  <si>
    <t xml:space="preserve">SINT-0404537</t>
  </si>
  <si>
    <t xml:space="preserve">SINT-0405792</t>
  </si>
  <si>
    <t xml:space="preserve">Autorização eólica - Parque 42 (sintético)</t>
  </si>
  <si>
    <t xml:space="preserve">SINT-0406333</t>
  </si>
  <si>
    <t xml:space="preserve">SINT-0408290</t>
  </si>
  <si>
    <t xml:space="preserve">SINT-0410027</t>
  </si>
  <si>
    <t xml:space="preserve">SINT-0411183</t>
  </si>
  <si>
    <t xml:space="preserve">SINT-0411977</t>
  </si>
  <si>
    <t xml:space="preserve">Extensão de outorga GSF - Salto Caxias</t>
  </si>
  <si>
    <t xml:space="preserve">SINT-0412343</t>
  </si>
  <si>
    <t xml:space="preserve">SINT-0413634</t>
  </si>
  <si>
    <t xml:space="preserve">SINT-0414495</t>
  </si>
  <si>
    <t xml:space="preserve">SINT-0415815</t>
  </si>
  <si>
    <t xml:space="preserve">SINT-0416856</t>
  </si>
  <si>
    <t xml:space="preserve">SINT-0418236</t>
  </si>
  <si>
    <t xml:space="preserve">SINT-0419571</t>
  </si>
  <si>
    <t xml:space="preserve">SINT-0421162</t>
  </si>
  <si>
    <t xml:space="preserve">SINT-0422466</t>
  </si>
  <si>
    <t xml:space="preserve">SINT-0423938</t>
  </si>
  <si>
    <t xml:space="preserve">SINT-0424954</t>
  </si>
  <si>
    <t xml:space="preserve">SINT-0425836</t>
  </si>
  <si>
    <t xml:space="preserve">SINT-0427239</t>
  </si>
  <si>
    <t xml:space="preserve">SINT-0428773</t>
  </si>
  <si>
    <t xml:space="preserve">SINT-0429943</t>
  </si>
  <si>
    <t xml:space="preserve">SINT-0431692</t>
  </si>
  <si>
    <t xml:space="preserve">SINT-0431899</t>
  </si>
  <si>
    <t xml:space="preserve">Autorização eólica - Parque 18 (sintético)</t>
  </si>
  <si>
    <t xml:space="preserve">SINT-0433152</t>
  </si>
  <si>
    <t xml:space="preserve">SINT-0434100</t>
  </si>
  <si>
    <t xml:space="preserve">SINT-0435409</t>
  </si>
  <si>
    <t xml:space="preserve">SINT-0436158</t>
  </si>
  <si>
    <t xml:space="preserve">Autorização eólica - Parque 27 (sintético)</t>
  </si>
  <si>
    <t xml:space="preserve">SINT-0437285</t>
  </si>
  <si>
    <t xml:space="preserve">SINT-0438657</t>
  </si>
  <si>
    <t xml:space="preserve">SINT-0440051</t>
  </si>
  <si>
    <t xml:space="preserve">SINT-0441339</t>
  </si>
  <si>
    <t xml:space="preserve">SINT-0443010</t>
  </si>
  <si>
    <t xml:space="preserve">SINT-0444955</t>
  </si>
  <si>
    <t xml:space="preserve">SINT-0446078</t>
  </si>
  <si>
    <t xml:space="preserve">SINT-0446981</t>
  </si>
  <si>
    <t xml:space="preserve">UBP - UHE Derivação do Rio Jordão</t>
  </si>
  <si>
    <t xml:space="preserve">SINT-0448005</t>
  </si>
  <si>
    <t xml:space="preserve">SINT-0449588</t>
  </si>
  <si>
    <t xml:space="preserve">SINT-0450795</t>
  </si>
  <si>
    <t xml:space="preserve">SINT-0452245</t>
  </si>
  <si>
    <t xml:space="preserve">SINT-0453533</t>
  </si>
  <si>
    <t xml:space="preserve">SINT-0454922</t>
  </si>
  <si>
    <t xml:space="preserve">SINT-0455552</t>
  </si>
  <si>
    <t xml:space="preserve">UBP - UHE Fundão (Elejor)</t>
  </si>
  <si>
    <t xml:space="preserve">SINT-0455721</t>
  </si>
  <si>
    <t xml:space="preserve">SINT-0457515</t>
  </si>
  <si>
    <t xml:space="preserve">SINT-0458910</t>
  </si>
  <si>
    <t xml:space="preserve">SINT-0460245</t>
  </si>
  <si>
    <t xml:space="preserve">SINT-0461562</t>
  </si>
  <si>
    <t xml:space="preserve">SINT-0463094</t>
  </si>
  <si>
    <t xml:space="preserve">Autorização eólica - Parque 13 (sintético)</t>
  </si>
  <si>
    <t xml:space="preserve">SINT-0463529</t>
  </si>
  <si>
    <t xml:space="preserve">SINT-0465104</t>
  </si>
  <si>
    <t xml:space="preserve">SINT-0466823</t>
  </si>
  <si>
    <t xml:space="preserve">SINT-0468543</t>
  </si>
  <si>
    <t xml:space="preserve">SINT-0469993</t>
  </si>
  <si>
    <t xml:space="preserve">SINT-0471898</t>
  </si>
  <si>
    <t xml:space="preserve">SINT-0472512</t>
  </si>
  <si>
    <t xml:space="preserve">UBP - UHE Capivari Cachoeira</t>
  </si>
  <si>
    <t xml:space="preserve">SINT-0473199</t>
  </si>
  <si>
    <t xml:space="preserve">SINT-0474659</t>
  </si>
  <si>
    <t xml:space="preserve">SINT-0475900</t>
  </si>
  <si>
    <t xml:space="preserve">SINT-0477590</t>
  </si>
  <si>
    <t xml:space="preserve">SINT-0479334</t>
  </si>
  <si>
    <t xml:space="preserve">SINT-0480484</t>
  </si>
  <si>
    <t xml:space="preserve">SINT-0481988</t>
  </si>
  <si>
    <t xml:space="preserve">SINT-0483386</t>
  </si>
  <si>
    <t xml:space="preserve">SINT-0484813</t>
  </si>
  <si>
    <t xml:space="preserve">SINT-0486402</t>
  </si>
  <si>
    <t xml:space="preserve">SINT-0487699</t>
  </si>
  <si>
    <t xml:space="preserve">SINT-0488972</t>
  </si>
  <si>
    <t xml:space="preserve">SINT-0490344</t>
  </si>
  <si>
    <t xml:space="preserve">SINT-0491304</t>
  </si>
  <si>
    <t xml:space="preserve">Em curso</t>
  </si>
  <si>
    <t xml:space="preserve">SINT-0491392</t>
  </si>
  <si>
    <t xml:space="preserve">Autorização eólica - Parque 32 (sintético)</t>
  </si>
  <si>
    <t xml:space="preserve">SINT-0492363</t>
  </si>
  <si>
    <t xml:space="preserve">SINT-0492701</t>
  </si>
  <si>
    <t xml:space="preserve">Autorização eólica - Parque 15 (sintético)</t>
  </si>
  <si>
    <t xml:space="preserve">SINT-0493267</t>
  </si>
  <si>
    <t xml:space="preserve">SINT-0494094</t>
  </si>
  <si>
    <t xml:space="preserve">Autorização eólica - Parque 24 (sintético)</t>
  </si>
  <si>
    <t xml:space="preserve">SINT-0494946</t>
  </si>
  <si>
    <t xml:space="preserve">SINT-0496286</t>
  </si>
  <si>
    <t xml:space="preserve">SINT-0497840</t>
  </si>
  <si>
    <t xml:space="preserve">SINT-0499473</t>
  </si>
  <si>
    <t xml:space="preserve">SINT-0501103</t>
  </si>
  <si>
    <t xml:space="preserve">SINT-0502687</t>
  </si>
  <si>
    <t xml:space="preserve">SINT-0504062</t>
  </si>
  <si>
    <t xml:space="preserve">SINT-0505869</t>
  </si>
  <si>
    <t xml:space="preserve">SINT-0507095</t>
  </si>
  <si>
    <t xml:space="preserve">SINT-0508567</t>
  </si>
  <si>
    <t xml:space="preserve">SINT-0509609</t>
  </si>
  <si>
    <t xml:space="preserve">SINT-0511262</t>
  </si>
  <si>
    <t xml:space="preserve">SINT-0512630</t>
  </si>
  <si>
    <t xml:space="preserve">SINT-0513599</t>
  </si>
  <si>
    <t xml:space="preserve">SINT-0514965</t>
  </si>
  <si>
    <t xml:space="preserve">SINT-0516263</t>
  </si>
  <si>
    <t xml:space="preserve">SINT-0517809</t>
  </si>
  <si>
    <t xml:space="preserve">SINT-0519525</t>
  </si>
  <si>
    <t xml:space="preserve">Avaliação da amostra MUS (SIMULADO) - PT 530 / PT 450</t>
  </si>
  <si>
    <t xml:space="preserve">Fatores de Poisson 95% (k erros)</t>
  </si>
  <si>
    <t xml:space="preserve">k = 0</t>
  </si>
  <si>
    <t xml:space="preserve">k = 1</t>
  </si>
  <si>
    <t xml:space="preserve">k = 2</t>
  </si>
  <si>
    <t xml:space="preserve">k = 3</t>
  </si>
  <si>
    <t xml:space="preserve">k = 4</t>
  </si>
  <si>
    <t xml:space="preserve">k = 5</t>
  </si>
  <si>
    <t xml:space="preserve">k = 6</t>
  </si>
  <si>
    <t xml:space="preserve">k = 7</t>
  </si>
  <si>
    <t xml:space="preserve">Itens não-chave com distorção (contagem)</t>
  </si>
  <si>
    <t xml:space="preserve">Soma das contaminações (superavaliação, não-chave)</t>
  </si>
  <si>
    <t xml:space="preserve">Distorção em itens-chave (R$)</t>
  </si>
  <si>
    <t xml:space="preserve">Precisão básica = J x fator(0)</t>
  </si>
  <si>
    <t xml:space="preserve">Distorção projetada = soma contaminações x J + itens-chave</t>
  </si>
  <si>
    <t xml:space="preserve">Provisão incremental (contaminações = 1,0 ordenadas; fórmula válida para até 7 erros)</t>
  </si>
  <si>
    <t xml:space="preserve">Limite superior de distorção (LSD)</t>
  </si>
  <si>
    <t xml:space="preserve">Distorção tolerável</t>
  </si>
  <si>
    <t xml:space="preserve">Conclusão (simulação)</t>
  </si>
  <si>
    <t xml:space="preserve">Checagem LSD do código Python</t>
  </si>
  <si>
    <t xml:space="preserve">Erros inseridos x exceções identificadas (SIMULADO) - PT BS-06</t>
  </si>
  <si>
    <t xml:space="preserve">Código</t>
  </si>
  <si>
    <t xml:space="preserve">Natureza do erro inserido</t>
  </si>
  <si>
    <t xml:space="preserve">Inseridos</t>
  </si>
  <si>
    <t xml:space="preserve">Detectados</t>
  </si>
  <si>
    <t xml:space="preserve">Taxa</t>
  </si>
  <si>
    <t xml:space="preserve">Distorção inserida (R$)</t>
  </si>
  <si>
    <t xml:space="preserve">Teste principal</t>
  </si>
  <si>
    <t xml:space="preserve">E01</t>
  </si>
  <si>
    <t xml:space="preserve">Registro duplicado</t>
  </si>
  <si>
    <t xml:space="preserve">T03</t>
  </si>
  <si>
    <t xml:space="preserve">E02</t>
  </si>
  <si>
    <t xml:space="preserve">Amortização acumulada &gt; custo (líquido negativo)</t>
  </si>
  <si>
    <t xml:space="preserve">T02</t>
  </si>
  <si>
    <t xml:space="preserve">E03</t>
  </si>
  <si>
    <t xml:space="preserve">Capitalização após 31/12/2025 (corte)</t>
  </si>
  <si>
    <t xml:space="preserve">T04</t>
  </si>
  <si>
    <t xml:space="preserve">E04</t>
  </si>
  <si>
    <t xml:space="preserve">Em serviço sem amortização</t>
  </si>
  <si>
    <t xml:space="preserve">T05</t>
  </si>
  <si>
    <t xml:space="preserve">E05</t>
  </si>
  <si>
    <t xml:space="preserve">Taxa abaixo da mínima do prazo de concessão</t>
  </si>
  <si>
    <t xml:space="preserve">T06</t>
  </si>
  <si>
    <t xml:space="preserve">E06</t>
  </si>
  <si>
    <t xml:space="preserve">ODI/contrato em branco</t>
  </si>
  <si>
    <t xml:space="preserve">T08</t>
  </si>
  <si>
    <t xml:space="preserve">E07</t>
  </si>
  <si>
    <t xml:space="preserve">Lançamento manual fictício abaixo da alçada, fim do exercício</t>
  </si>
  <si>
    <t xml:space="preserve">T09/T08</t>
  </si>
  <si>
    <t xml:space="preserve">E08</t>
  </si>
  <si>
    <t xml:space="preserve">Em curso com amortização</t>
  </si>
  <si>
    <t xml:space="preserve">T07</t>
  </si>
  <si>
    <t xml:space="preserve">E09</t>
  </si>
  <si>
    <t xml:space="preserve">Valor líquido diverge de custo - amortização</t>
  </si>
  <si>
    <t xml:space="preserve">Total</t>
  </si>
  <si>
    <t xml:space="preserve">Falsos positivos (exceções sem erro inserido)</t>
  </si>
  <si>
    <t xml:space="preserve">Sumário de distorções - PT 450 (NBC TA 450 (R1))</t>
  </si>
  <si>
    <t xml:space="preserve">Parte A - evidência pública: nenhuma distorção identificada (trabalho sem acesso a registros).</t>
  </si>
  <si>
    <t xml:space="preserve">Parte B - SIMULADO: distorções identificadas na base sintética do intangível (CAAT 100%).</t>
  </si>
  <si>
    <t xml:space="preserve">Item</t>
  </si>
  <si>
    <t xml:space="preserve">Referência</t>
  </si>
  <si>
    <t xml:space="preserve">Distorção factual identificada na base sintética (superavaliação líquida)</t>
  </si>
  <si>
    <t xml:space="preserve">PT BS-06</t>
  </si>
  <si>
    <t xml:space="preserve">Materialidade para execução</t>
  </si>
  <si>
    <t xml:space="preserve">Materialidade global</t>
  </si>
  <si>
    <t xml:space="preserve">Conclusão quantitativa</t>
  </si>
  <si>
    <t xml:space="preserve">Aspecto qualitativo: E07 tem natureza de fraude (lançamentos fictícios) - relevante por natureza, comunicar à governança (NBC TA 240/260) independentemente do valor.</t>
  </si>
  <si>
    <t xml:space="preserve">Procedimentos analíticos e reconciliações - PT 520 / PT 540</t>
  </si>
  <si>
    <t xml:space="preserve">Valor A</t>
  </si>
  <si>
    <t xml:space="preserve">Valor B</t>
  </si>
  <si>
    <t xml:space="preserve">Resultado / leitura</t>
  </si>
  <si>
    <t xml:space="preserve">Provisões para litígios no balanço (R$ mil) x provisão para processos judiciais no 20-F (R$ mi x 1.000)</t>
  </si>
  <si>
    <t xml:space="preserve">Explicada: a linha inclui contraprestação contingente de R$ 362.465 mil (F17, NE 26, p. 105) - ver linha 12.</t>
  </si>
  <si>
    <t xml:space="preserve">Receita de construção x custo de construção (margem ICPC 01)</t>
  </si>
  <si>
    <t xml:space="preserve">Margem pequena: coerente com reconhecimento a custo + margem.</t>
  </si>
  <si>
    <t xml:space="preserve">Resultado de ativos/passivos setoriais (CVA): variação 2025/2024</t>
  </si>
  <si>
    <t xml:space="preserve">Aumento de 180%: estimativa regulatória - risco significativo.</t>
  </si>
  <si>
    <t xml:space="preserve">Energia comprada para revenda: variação</t>
  </si>
  <si>
    <t xml:space="preserve">Crescimento compatível com volumes da Copel Com.</t>
  </si>
  <si>
    <t xml:space="preserve">Despesas financeiras: variação</t>
  </si>
  <si>
    <t xml:space="preserve">Aumento de dívida e Selic 15% (F02, p. 15).</t>
  </si>
  <si>
    <t xml:space="preserve">Expectativa de despesa financeira: dívida média x custo médio 13,22% (R$ mil)</t>
  </si>
  <si>
    <t xml:space="preserve">Despesa registrada vs. expectativa (dívida média x custo nominal informado). Diferença inclui outros itens.</t>
  </si>
  <si>
    <t xml:space="preserve">Dividendos mínimos a pagar 31/12/2025 x proventos declarados no 4T25 (R$ mi 1.350 + 1.100)</t>
  </si>
  <si>
    <t xml:space="preserve">IRRF sobre JCP (R$ 168.009 mil, F17 NE 12.2) explica a direção; resíduo de R$ 43.898 mil em aberto (Expectativas_520).</t>
  </si>
  <si>
    <t xml:space="preserve">Diferença de provisões menos contraprestação contingente (F17, NE 26.3)</t>
  </si>
  <si>
    <t xml:space="preserve">Resíduo de arredondamento (20-F informa R$ milhões com uma casa).</t>
  </si>
  <si>
    <t xml:space="preserve">Vencidos líquidos de PECLD (R$ mi, F02 p.5) / clientes CP</t>
  </si>
  <si>
    <t xml:space="preserve">Proporção dos vencidos no saldo de clientes.</t>
  </si>
  <si>
    <t xml:space="preserve">Continuidade operacional - PT 570 (NBC TA 570)</t>
  </si>
  <si>
    <t xml:space="preserve">R$ milhões</t>
  </si>
  <si>
    <t xml:space="preserve">Fonte / leitura</t>
  </si>
  <si>
    <t xml:space="preserve">Caixa e aplicações (release, seção 1.7)</t>
  </si>
  <si>
    <t xml:space="preserve">F01, p. 8</t>
  </si>
  <si>
    <t xml:space="preserve">Amortizações de dívida em 2026</t>
  </si>
  <si>
    <t xml:space="preserve">Amortizações de dívida em 2027</t>
  </si>
  <si>
    <t xml:space="preserve">Cobertura de 2026 (caixa / amortizações 2026)</t>
  </si>
  <si>
    <t xml:space="preserve">Fluxo de caixa operacional 2025 (R$ mi)</t>
  </si>
  <si>
    <t xml:space="preserve">Alavancagem dívida líquida/EBITDA (faixa-alvo 2,5x a 3,1x)</t>
  </si>
  <si>
    <t xml:space="preserve">Liquidez corrente</t>
  </si>
  <si>
    <t xml:space="preserve">Leitura</t>
  </si>
  <si>
    <t xml:space="preserve">Expectativas analíticas com limite de investigação - PT 520 (NBC TA 520, item 5)</t>
  </si>
  <si>
    <t xml:space="preserve">Limite de investigação = materialidade de execução</t>
  </si>
  <si>
    <t xml:space="preserve">Esperado (R$ mil)</t>
  </si>
  <si>
    <t xml:space="preserve">Registrado (R$ mil)</t>
  </si>
  <si>
    <t xml:space="preserve">Investigar?</t>
  </si>
  <si>
    <t xml:space="preserve">Base da expectativa</t>
  </si>
  <si>
    <t xml:space="preserve">Custo nominal médio da dívida (F01, p. 7)</t>
  </si>
  <si>
    <t xml:space="preserve">Despesa financeira</t>
  </si>
  <si>
    <t xml:space="preserve">Dívida média (empréstimos + debêntures) x custo nominal</t>
  </si>
  <si>
    <t xml:space="preserve">Depreciação e amortização</t>
  </si>
  <si>
    <t xml:space="preserve">Taxa implícita 2024 x base média 2025 (imobilizado + intangível)</t>
  </si>
  <si>
    <t xml:space="preserve">Receita de construção</t>
  </si>
  <si>
    <t xml:space="preserve">Custo 2025 x (1 + margem 2024)</t>
  </si>
  <si>
    <t xml:space="preserve">Dividendos mínimos a pagar</t>
  </si>
  <si>
    <t xml:space="preserve">Proventos declarados no 4T25: R$ 1,35 bi dividendos + R$ 1,1 bi JCP (F01, p. 1; F06)</t>
  </si>
  <si>
    <t xml:space="preserve">Investigação das diferenças com as notas explicativas (F17)</t>
  </si>
  <si>
    <t xml:space="preserve">Encargos e variação monetária da dívida x expectativa</t>
  </si>
  <si>
    <t xml:space="preserve">F17, NE 30, p. 117: a parcela da dívida fica perto da expectativa</t>
  </si>
  <si>
    <t xml:space="preserve">Demais despesas financeiras (fora da dívida)</t>
  </si>
  <si>
    <t xml:space="preserve">PIS/Cofins s/ JCP 129.067; concessões 157.858; CVA 77.774; PIS/Cofins 64.510; litígios 63.304; outros</t>
  </si>
  <si>
    <t xml:space="preserve">Dividendos a pagar: proventos - IRRF sobre JCP</t>
  </si>
  <si>
    <t xml:space="preserve">IRRF s/ JCP R$ 168.009 mil em outras obrigações fiscais (F17, NE 12.2, p. 81); resíduo não explicado</t>
  </si>
  <si>
    <t xml:space="preserve">Sensibilidade da PECLD à cobertura dos vencidos - PT 540 (R$ milhões)</t>
  </si>
  <si>
    <t xml:space="preserve">Vencidos líquidos de PECLD (F02, Item 3, p. 5)</t>
  </si>
  <si>
    <t xml:space="preserve">PECLD registrada (F02, Item 3, p. 5)</t>
  </si>
  <si>
    <t xml:space="preserve">Vencidos brutos (premissa: PECLD refere-se aos vencidos)</t>
  </si>
  <si>
    <t xml:space="preserve">Cobertura atual</t>
  </si>
  <si>
    <t xml:space="preserve">Materialidade de execução (R$ mi)</t>
  </si>
  <si>
    <t xml:space="preserve">Materialidade global (R$ mi)</t>
  </si>
  <si>
    <t xml:space="preserve">Cenário de cobertura</t>
  </si>
  <si>
    <t xml:space="preserve">PECLD no cenário</t>
  </si>
  <si>
    <t xml:space="preserve">Variação</t>
  </si>
  <si>
    <t xml:space="preserve">Comparação</t>
  </si>
  <si>
    <t xml:space="preserve">Cobertura que gera variação igual à materialidade global</t>
  </si>
  <si>
    <t xml:space="preserve">Componentes e materialidade dos componentes - PT 600 (R$ mil)</t>
  </si>
  <si>
    <t xml:space="preserve">Materialidade de execução do grupo</t>
  </si>
  <si>
    <t xml:space="preserve">Componente</t>
  </si>
  <si>
    <t xml:space="preserve">Receita líquida antes de eliminações (F01, Anexo II)</t>
  </si>
  <si>
    <t xml:space="preserve">% da soma</t>
  </si>
  <si>
    <t xml:space="preserve">% da ME do grupo</t>
  </si>
  <si>
    <t xml:space="preserve">Materialidade do componente</t>
  </si>
  <si>
    <t xml:space="preserve">Copel DIS</t>
  </si>
  <si>
    <t xml:space="preserve">Copel GeT - geração</t>
  </si>
  <si>
    <t xml:space="preserve">Copel GeT - transmissão</t>
  </si>
  <si>
    <t xml:space="preserve">Copel Comercialização</t>
  </si>
  <si>
    <t xml:space="preserve">Parques eólicos</t>
  </si>
  <si>
    <t xml:space="preserve">F.D.A.</t>
  </si>
  <si>
    <t xml:space="preserve">Elejor</t>
  </si>
  <si>
    <t xml:space="preserve">C. Oeste, Marumbi, Uirapuru</t>
  </si>
  <si>
    <t xml:space="preserve">Bela Vista</t>
  </si>
  <si>
    <t xml:space="preserve">Pequenos ativos</t>
  </si>
  <si>
    <t xml:space="preserve">Copel Serviços</t>
  </si>
  <si>
    <t xml:space="preserve">Soma dos componentes</t>
  </si>
  <si>
    <t xml:space="preserve">Eliminações (F01, Anexo II)</t>
  </si>
  <si>
    <t xml:space="preserve">Receita consolidada (soma + eliminações)</t>
  </si>
  <si>
    <t xml:space="preserve">Cobertura DIS + GeT (auditoria completa)</t>
  </si>
  <si>
    <t xml:space="preserve">Matriz de cobertura das normas - PT MC</t>
  </si>
  <si>
    <t xml:space="preserve">Norma</t>
  </si>
  <si>
    <t xml:space="preserve">Versão (2025)</t>
  </si>
  <si>
    <t xml:space="preserve">Publicação</t>
  </si>
  <si>
    <t xml:space="preserve">Título</t>
  </si>
  <si>
    <t xml:space="preserve">PT principais</t>
  </si>
  <si>
    <t xml:space="preserve">PT de apoio</t>
  </si>
  <si>
    <t xml:space="preserve">NBC TA Estrutura Conceitual</t>
  </si>
  <si>
    <t xml:space="preserve">Estrutura Conceitual</t>
  </si>
  <si>
    <t xml:space="preserve">DOU 25/11/2015</t>
  </si>
  <si>
    <t xml:space="preserve">Estrutura Conceitual para Trabalhos de Asseguração</t>
  </si>
  <si>
    <t xml:space="preserve">PT EC</t>
  </si>
  <si>
    <t xml:space="preserve">NBC TA 200</t>
  </si>
  <si>
    <t xml:space="preserve">NBC TA 200 (R1)</t>
  </si>
  <si>
    <t xml:space="preserve">DOU 05/09/2016</t>
  </si>
  <si>
    <t xml:space="preserve">Objetivos Gerais do Auditor Independente e a Condução da Auditoria</t>
  </si>
  <si>
    <t xml:space="preserve">PT 200, PT RA, PT CI</t>
  </si>
  <si>
    <t xml:space="preserve">PT EC, PT 500.2</t>
  </si>
  <si>
    <t xml:space="preserve">NBC TA 210</t>
  </si>
  <si>
    <t xml:space="preserve">NBC TA 210 (R1)</t>
  </si>
  <si>
    <t xml:space="preserve">Concordância com os Termos do Trabalho de Auditoria</t>
  </si>
  <si>
    <t xml:space="preserve">PT 210</t>
  </si>
  <si>
    <t xml:space="preserve">NBC TA 220</t>
  </si>
  <si>
    <t xml:space="preserve">NBC TA 220 (R3)</t>
  </si>
  <si>
    <t xml:space="preserve">DOU 09/12/2021</t>
  </si>
  <si>
    <t xml:space="preserve">Gestão de Qualidade da Auditoria de Demonstrações Contábeis</t>
  </si>
  <si>
    <t xml:space="preserve">PT 220</t>
  </si>
  <si>
    <t xml:space="preserve">PT 300, PT 600</t>
  </si>
  <si>
    <t xml:space="preserve">NBC TA 230</t>
  </si>
  <si>
    <t xml:space="preserve">NBC TA 230 (R1)</t>
  </si>
  <si>
    <t xml:space="preserve">Documentação de Auditoria</t>
  </si>
  <si>
    <t xml:space="preserve">PT 000, PT 230, PT BS-03, PT MC</t>
  </si>
  <si>
    <t xml:space="preserve">PT 500.2, PT 220, PT BS-02</t>
  </si>
  <si>
    <t xml:space="preserve">NBC TA 240</t>
  </si>
  <si>
    <t xml:space="preserve">NBC TA 240 (R1)</t>
  </si>
  <si>
    <t xml:space="preserve">Responsabilidade do Auditor em Relação a Fraude</t>
  </si>
  <si>
    <t xml:space="preserve">PT 240</t>
  </si>
  <si>
    <t xml:space="preserve">PT 315.2, PT PA-01, PT BS-05</t>
  </si>
  <si>
    <t xml:space="preserve">NBC TA 250</t>
  </si>
  <si>
    <t xml:space="preserve">DOU 14/02/2019</t>
  </si>
  <si>
    <t xml:space="preserve">Consideração de Leis e Regulamentos</t>
  </si>
  <si>
    <t xml:space="preserve">PT 250</t>
  </si>
  <si>
    <t xml:space="preserve">PT 315.1</t>
  </si>
  <si>
    <t xml:space="preserve">NBC TA 260</t>
  </si>
  <si>
    <t xml:space="preserve">NBC TA 260 (R2)</t>
  </si>
  <si>
    <t xml:space="preserve">DOU 04/07/2016</t>
  </si>
  <si>
    <t xml:space="preserve">Comunicação com os Responsáveis pela Governança</t>
  </si>
  <si>
    <t xml:space="preserve">PT 260</t>
  </si>
  <si>
    <t xml:space="preserve">PT RA</t>
  </si>
  <si>
    <t xml:space="preserve">NBC TA 265</t>
  </si>
  <si>
    <t xml:space="preserve">Res. CFC 1.210/2009</t>
  </si>
  <si>
    <t xml:space="preserve">Comunicação de Deficiências de Controle Interno</t>
  </si>
  <si>
    <t xml:space="preserve">PT 265</t>
  </si>
  <si>
    <t xml:space="preserve">NBC TA 300</t>
  </si>
  <si>
    <t xml:space="preserve">NBC TA 300 (R1)</t>
  </si>
  <si>
    <t xml:space="preserve">Planejamento da Auditoria de Demonstrações Contábeis</t>
  </si>
  <si>
    <t xml:space="preserve">PT 300</t>
  </si>
  <si>
    <t xml:space="preserve">PT 000</t>
  </si>
  <si>
    <t xml:space="preserve">NBC TA 315</t>
  </si>
  <si>
    <t xml:space="preserve">NBC TA 315 (R2)</t>
  </si>
  <si>
    <t xml:space="preserve">DOU 02/09/2021</t>
  </si>
  <si>
    <t xml:space="preserve">Identificação e Avaliação dos Riscos de Distorção Relevante</t>
  </si>
  <si>
    <t xml:space="preserve">PT 315.1, PT 315.2</t>
  </si>
  <si>
    <t xml:space="preserve">PT 240, PT 265, PT 330, PT BS-01</t>
  </si>
  <si>
    <t xml:space="preserve">NBC TA 320</t>
  </si>
  <si>
    <t xml:space="preserve">NBC TA 320 (R1)</t>
  </si>
  <si>
    <t xml:space="preserve">Materialidade no Planejamento e na Execução da Auditoria</t>
  </si>
  <si>
    <t xml:space="preserve">PT 320, PT BS-01</t>
  </si>
  <si>
    <t xml:space="preserve">PT 450</t>
  </si>
  <si>
    <t xml:space="preserve">NBC TA 330</t>
  </si>
  <si>
    <t xml:space="preserve">NBC TA 330 (R1)</t>
  </si>
  <si>
    <t xml:space="preserve">Resposta do Auditor aos Riscos Avaliados</t>
  </si>
  <si>
    <t xml:space="preserve">PT 330, PT PA-01, PT PA-02, PT PA-03, PT PA-04, PT PA-05, PT BS-05</t>
  </si>
  <si>
    <t xml:space="preserve">PT 240, PT PA-06, PT BS-04</t>
  </si>
  <si>
    <t xml:space="preserve">NBC TA 402</t>
  </si>
  <si>
    <t xml:space="preserve">Res. CFC 1.215/2009</t>
  </si>
  <si>
    <t xml:space="preserve">Considerações de Auditoria para a Entidade que Utiliza Organização Prestadora de Serviços</t>
  </si>
  <si>
    <t xml:space="preserve">PT 402</t>
  </si>
  <si>
    <t xml:space="preserve">NBC TA 450</t>
  </si>
  <si>
    <t xml:space="preserve">NBC TA 450 (R1)</t>
  </si>
  <si>
    <t xml:space="preserve">Avaliação das Distorções Identificadas</t>
  </si>
  <si>
    <t xml:space="preserve">PT 450, PT BS-06</t>
  </si>
  <si>
    <t xml:space="preserve">PT 320, PT 530, PT CI</t>
  </si>
  <si>
    <t xml:space="preserve">NBC TA 500</t>
  </si>
  <si>
    <t xml:space="preserve">NBC TA 500 (R1)</t>
  </si>
  <si>
    <t xml:space="preserve">Evidência de Auditoria</t>
  </si>
  <si>
    <t xml:space="preserve">PT 500.2, PT 500.1, PT BS-02, PT BS-04</t>
  </si>
  <si>
    <t xml:space="preserve">NBC TA 501</t>
  </si>
  <si>
    <t xml:space="preserve">Res. CFC 1.218/2009</t>
  </si>
  <si>
    <t xml:space="preserve">Evidência de Auditoria - Considerações Específicas para Itens Selecionados</t>
  </si>
  <si>
    <t xml:space="preserve">PT 501</t>
  </si>
  <si>
    <t xml:space="preserve">PT PA-03, PT PA-05</t>
  </si>
  <si>
    <t xml:space="preserve">NBC TA 505</t>
  </si>
  <si>
    <t xml:space="preserve">Res. CFC 1.219/2009</t>
  </si>
  <si>
    <t xml:space="preserve">Confirmações Externas</t>
  </si>
  <si>
    <t xml:space="preserve">PT 505</t>
  </si>
  <si>
    <t xml:space="preserve">PT 501, PT PA-02, PT PA-05</t>
  </si>
  <si>
    <t xml:space="preserve">NBC TA 510</t>
  </si>
  <si>
    <t xml:space="preserve">NBC TA 510 (R1)</t>
  </si>
  <si>
    <t xml:space="preserve">Trabalhos Iniciais - Saldos Iniciais</t>
  </si>
  <si>
    <t xml:space="preserve">PT 510</t>
  </si>
  <si>
    <t xml:space="preserve">NBC TA 520</t>
  </si>
  <si>
    <t xml:space="preserve">Res. CFC 1.221/2009</t>
  </si>
  <si>
    <t xml:space="preserve">Procedimentos Analíticos</t>
  </si>
  <si>
    <t xml:space="preserve">PT 520</t>
  </si>
  <si>
    <t xml:space="preserve">PT PA-01, PT BS-05</t>
  </si>
  <si>
    <t xml:space="preserve">NBC TA 530</t>
  </si>
  <si>
    <t xml:space="preserve">Res. CFC 1.222/2009</t>
  </si>
  <si>
    <t xml:space="preserve">Amostragem em Auditoria</t>
  </si>
  <si>
    <t xml:space="preserve">PT 530</t>
  </si>
  <si>
    <t xml:space="preserve">NBC TA 540</t>
  </si>
  <si>
    <t xml:space="preserve">NBC TA 540 (R2)</t>
  </si>
  <si>
    <t xml:space="preserve">DOU 23/10/2019</t>
  </si>
  <si>
    <t xml:space="preserve">Auditoria de Estimativas Contábeis, Inclusive do Valor Justo, e Divulgações Relacionadas</t>
  </si>
  <si>
    <t xml:space="preserve">PT 540, PT PA-06</t>
  </si>
  <si>
    <t xml:space="preserve">PT 315.2, PT PA-04</t>
  </si>
  <si>
    <t xml:space="preserve">NBC TA 550</t>
  </si>
  <si>
    <t xml:space="preserve">Res. CFC 1.224/2009</t>
  </si>
  <si>
    <t xml:space="preserve">Partes Relacionadas</t>
  </si>
  <si>
    <t xml:space="preserve">PT 550</t>
  </si>
  <si>
    <t xml:space="preserve">NBC TA 560</t>
  </si>
  <si>
    <t xml:space="preserve">NBC TA 560 (R1)</t>
  </si>
  <si>
    <t xml:space="preserve">Eventos Subsequentes</t>
  </si>
  <si>
    <t xml:space="preserve">PT 560</t>
  </si>
  <si>
    <t xml:space="preserve">NBC TA 570</t>
  </si>
  <si>
    <t xml:space="preserve">Continuidade Operacional</t>
  </si>
  <si>
    <t xml:space="preserve">PT 570</t>
  </si>
  <si>
    <t xml:space="preserve">NBC TA 580</t>
  </si>
  <si>
    <t xml:space="preserve">NBC TA 580 (R1)</t>
  </si>
  <si>
    <t xml:space="preserve">Representações Formais</t>
  </si>
  <si>
    <t xml:space="preserve">PT 580</t>
  </si>
  <si>
    <t xml:space="preserve">NBC TA 600</t>
  </si>
  <si>
    <t xml:space="preserve">NBC TA 600 (R2)</t>
  </si>
  <si>
    <t xml:space="preserve">DOU 06/12/2023</t>
  </si>
  <si>
    <t xml:space="preserve">Considerações Especiais - Auditorias de Demonstrações Contábeis de Grupos</t>
  </si>
  <si>
    <t xml:space="preserve">PT 600</t>
  </si>
  <si>
    <t xml:space="preserve">Normas sem PT principal (contagem)</t>
  </si>
  <si>
    <t xml:space="preserve">Relação de fontes (detalhe em docs/fontes.md)</t>
  </si>
  <si>
    <t xml:space="preserve">ID</t>
  </si>
  <si>
    <t xml:space="preserve">Documento</t>
  </si>
  <si>
    <t xml:space="preserve">Endereço eletrônico / páginas / exercício / acesso</t>
  </si>
  <si>
    <t xml:space="preserve">F01</t>
  </si>
  <si>
    <t xml:space="preserve">Release de resultados 4T25 – Form 6-K (inclui Anexo I: DRE, balanço e DFC consolidados)</t>
  </si>
  <si>
    <t xml:space="preserve">https://www.sec.gov/Archives/edgar/data/1041792/000129281426000558/elppr4q25_6k.htm | Destaques (p. 1); seções 1.1 a 1.7 (pp. 4–8); seção 2 (p. 9); seção 3 (pp. 10–13); seção 4 (pp. 14–16); Anexo I: DRE p. 23, balanço p. 24, DFC p. 25, capital social p. 28 | 2025 e 2024 | 24/10/2026</t>
  </si>
  <si>
    <t xml:space="preserve">F02</t>
  </si>
  <si>
    <t xml:space="preserve">Form 20-F 2025 (relatório anual arquivado na SEC em 15/04/2026; DFs consolidadas em IFRS; relatórios PwC F-3 e Deloitte F-7)</t>
  </si>
  <si>
    <t xml:space="preserve">https://www.sec.gov/Archives/edgar/data/1041792/000207097926000155/elpc-20251231.htm | Apresentação (p. 1); Item 3 – fatores de risco (pp. 3–19: vencidos e PECLD p. 5; provisões p. 7; clientes livres p. 12; Selic/IPCA p. 15; câmbio p. 18); Item 4 (pp. 20–26); Item 15 (p. 117); índice das DFs (F-3, F-7) | 2025 | 24/10/2026</t>
  </si>
  <si>
    <t xml:space="preserve">F03</t>
  </si>
  <si>
    <t xml:space="preserve">Form 6-K de março/2026 – ata do Conselho de Administração de 26/02/2026 (aprovação das DFs 2025; parecer do Comitê de Auditoria Estatutário; relatório PwC sem ressalvas)</t>
  </si>
  <si>
    <t xml:space="preserve">https://www.sec.gov/Archives/edgar/data/1041792/000129281426000710/elp20260306_6k.htm | Itens 01 e manifestação do auditor externo | 2025 | 24/10/2026</t>
  </si>
  <si>
    <t xml:space="preserve">F04</t>
  </si>
  <si>
    <t xml:space="preserve">Form 6-K de 11/03/2024 – contratação da PwC em substituição à Deloitte (até o exercício de 2028)</t>
  </si>
  <si>
    <t xml:space="preserve">https://www.sec.gov/Archives/edgar/data/1041792/000129281424000777/elp20240311_6k3.htm | Página única | 2024–2028 | 24/10/2026</t>
  </si>
  <si>
    <t xml:space="preserve">F05</t>
  </si>
  <si>
    <t xml:space="preserve">Form 6-K de 22/12/2025 – conclusão da migração ao Novo Mercado</t>
  </si>
  <si>
    <t xml:space="preserve">https://www.sec.gov/Archives/edgar/data/1041792/000129281425004347/elp20251222_6k.htm | Página única | 2025 | 24/10/2026</t>
  </si>
  <si>
    <t xml:space="preserve">F06</t>
  </si>
  <si>
    <t xml:space="preserve">Form 6-K de 10/12/2025 – dividendos de R$ 1,35 bilhão (data-base 30/12/2025)</t>
  </si>
  <si>
    <t xml:space="preserve">https://www.sec.gov/Archives/edgar/data/1041792/000129281425004224/elp20251210_6k.htm | Página única | 2025 | 24/10/2026</t>
  </si>
  <si>
    <t xml:space="preserve">F07</t>
  </si>
  <si>
    <t xml:space="preserve">Relatório da Administração e DFs 2025 da F.D.A. Geração de Energia Elétrica S.A. (controlada indireta; relatório PwC de 20/03/2026)</t>
  </si>
  <si>
    <t xml:space="preserve">https://api.mziq.com/mzfilemanager/v2/d/16a31b1b-5ecd-4214-a2e0-308a2393e330/eabc7f9a-165e-5467-f639-e25c77de3a27?origin=2 | Balanço p. 8; NE 9 – intangível p. 20; NE 13 p. 22; NE 19 p. 26; NE 22 p. 27; relatório do auditor pp. 29–31 | 2025 | 24/10/2026</t>
  </si>
  <si>
    <t xml:space="preserve">F08</t>
  </si>
  <si>
    <t xml:space="preserve">Form 6-K de 25/05/2026 – renegociação do UBP da Elejor</t>
  </si>
  <si>
    <t xml:space="preserve">https://www.sec.gov/Archives/edgar/data/0001041792/000129281426003179/elp20260525_6k.htm | Página única | 2026 (evento subsequente) | 24/10/2026</t>
  </si>
  <si>
    <t xml:space="preserve">F09</t>
  </si>
  <si>
    <t xml:space="preserve">CFC – lista das NBC TA de auditoria independente (versões e publicações)</t>
  </si>
  <si>
    <t xml:space="preserve">https://cfc.org.br/tecnica/normas-brasileiras-de-contabilidade/nbc-ta-de-auditoria-independente/ | Tabela completa | Normas vigentes | 24/10/2026</t>
  </si>
  <si>
    <t xml:space="preserve">F10</t>
  </si>
  <si>
    <t xml:space="preserve">DFs 2025 da Copel Geração e Transmissão S.A. publicadas no jornal Valor (honorários da PwC)</t>
  </si>
  <si>
    <t xml:space="preserve">https://s3.glbimg.com/v1/AUTH_63b422c2caee4269b8b34177e8876b93/valorri-uploads/bs/2026/Z/v/ZqsrDYSO65YBkjfbq47A/copelget1587812327022026.pdf | Nota sobre auditoria independente | 2025 | 24/10/2026</t>
  </si>
  <si>
    <t xml:space="preserve">F11</t>
  </si>
  <si>
    <t xml:space="preserve">ITR de março/2026 da Copel Distribuição S.A. (referência às DFs de 31/12/2025; taxa média de amortização do intangível)</t>
  </si>
  <si>
    <t xml:space="preserve">https://api.mziq.com/mzfilemanager/v2/d/7f70f37b-33a7-497d-8a97-914a19f54edd/eb0b8e4a-0e97-7583-0908-659d0c24ac5f?origin=2 | Nota do intangível (trecho; leitura parcial) | 2025/2026 | 24/10/2026</t>
  </si>
  <si>
    <t xml:space="preserve">F12</t>
  </si>
  <si>
    <t xml:space="preserve">CVM – relatório do PAS 19957.009936/2021-68 (auditoria anterior de DFs da Copel; caso UEGA)</t>
  </si>
  <si>
    <t xml:space="preserve">https://www.gov.br/cvm/pt-br/assuntos/noticias/anexos/2025/20250901-pas-cvm-19957-009936-2021-68-relatorio-diretor-joao-accioly.pdf/@@download/file | Síntese introdutória | Histórico | 24/10/2026</t>
  </si>
  <si>
    <t xml:space="preserve">F13</t>
  </si>
  <si>
    <t xml:space="preserve">Site de RI da COPEL – Central de Resultados</t>
  </si>
  <si>
    <t xml:space="preserve">https://ri.copel.com/dados-financeiros/central-de-resultados/ | Página consultada; listagem do ano não carregou na leitura automatizada | 2025 | 24/10/2026</t>
  </si>
  <si>
    <t xml:space="preserve">F14</t>
  </si>
  <si>
    <t xml:space="preserve">Notícias sobre unificação de ações, saída do Latibex e códigos de negociação (apoio; não substituem documentos oficiais)</t>
  </si>
  <si>
    <t xml:space="preserve">https://renovainvest.com.br/?p=106781 ; https://www.moneytimes.com.br/copel-cple6-acionistas-aprovam-unificacao-de-acoes-e-migracao-ao-novo-mercado-kda/ | Texto integral | 2025 | 24/10/2026</t>
  </si>
  <si>
    <t xml:space="preserve">F15</t>
  </si>
  <si>
    <t xml:space="preserve">Demonstrações financeiras intermediárias de março/2026 da Copel Geração e Transmissão S.A. (controlada integral; comparativo de 31/12/2025; relatório de revisão da PwC de 05/05/2026)</t>
  </si>
  <si>
    <t xml:space="preserve">Documento obtido pela estudante no site de RI da Copel (seção Subsidiárias – Copel GeT) e anexado ao trabalho | Balanço p. 3; NE 15 – intangível p. 21; NE 25 – provisões p. 27; relatório de revisão pp. 47–48 | 31/12/2025 (comparativo) e 1T26 | 24/10/2026</t>
  </si>
  <si>
    <t xml:space="preserve">F16</t>
  </si>
  <si>
    <t xml:space="preserve">Demonstrações financeiras intermediárias de junho/2026 da Copel Geração e Transmissão S.A. (relatório de revisão da PwC de 05/08/2026)</t>
  </si>
  <si>
    <t xml:space="preserve">Documento obtido pela estudante no site de RI da Copel (seção Subsidiárias – Copel GeT) e anexado ao trabalho | NE 15 p. 22; NE 25 p. 28; NE 33 – compromissos p. 46; NE 36 e 37 – mantidos para venda e eventos subsequentes p. 47; relatório de revisão p. 53 | 2T26 (eventos subsequentes a 2025) | 24/10/2026</t>
  </si>
  <si>
    <t xml:space="preserve">F17</t>
  </si>
  <si>
    <t xml:space="preserve">Demonstrações financeiras individuais e consolidadas de dezembro/2025 da Companhia Paranaense de Energia – COPEL (holding; relatório da administração, notas explicativas e relatório do auditor independente PwC de 26/02/2026), arquivo "Demonstrações Financeiras Intermediárias – 4T25"</t>
  </si>
  <si>
    <t xml:space="preserve">Documento obtido pela estudante no site de RI da Copel (Central de Resultados, 4T25) e anexado ao trabalho | Balanço pp. 47–48; notas explicativas 1 a 38 lidas integralmente (pp. 56–137), com destaque para NE 1.2 – combinação de negócios pp. 58–59; NE 3.5 – continuidade p. 64; NE 7 – clientes p. 73; NE 12 – tributos pp. 79–83; NE 15 – imobilizado e impairment pp. 88–90; NE 16 – intangível p. 91; NE 19–20 – dívida e covenants pp. 92–96; NE 21 – benefícios pp. 96–100; NE 26 – provisões pp. 104–107; NE 27 – patrimônio e dividendos pp. 108–112; NE 30 – resultado financeiro p. 117; NE 32 – riscos financeiros pp. 121–130; NE 33 – partes relacionadas pp. 130–132; NE 38 – eventos subsequentes pp. 136–137; projeções p. 138; Conselho Fiscal p. 140; relatório do CAE pp. 141–148; relatório do auditor pp. 149–155 | 2025 (comparativo 2024) | 24/10/2026</t>
  </si>
  <si>
    <t xml:space="preserve">F18</t>
  </si>
  <si>
    <t xml:space="preserve">DFP – Demonstrações Financeiras Padronizadas de 31/12/2025, versão 1, da Cia Paranaense de Energia – COPEL (código CVM 014311), entregue à CVM, com relatório do auditor (PwC, 26/02/2026), pareceres e declarações dos diretores; arquivo 154946_014311 baixado pela estudante</t>
  </si>
  <si>
    <t xml:space="preserve">https://www.rad.cvm.gov.br/ENET/frmConsultaExternaCVM.aspx (consulta: empresa 014311, categoria DFP, data de referência 31/12/2025) | BP consolidado pp. 19–22; DRE p. 23; notas pp. 73–153 (NE 3.5 p. 81; NE 7 pp. 90–91; NE 12.2 p. 97; NE 15.4 p. 106; NE 16 p. 107; NE 26 pp. 121–123; NE 28 p. 129; NE 30 p. 133; NE 32.2.9 p. 144; NE 33 p. 146; NE 38 pp. 152–153); relatório do auditor pp. 156–159; Conselho Fiscal p. 160; CAE pp. 161–165; declarações dos diretores pp. 166–167 | 2025 (comparativo 2024) | 24/10/2026</t>
  </si>
  <si>
    <t xml:space="preserve">F19</t>
  </si>
  <si>
    <t xml:space="preserve">B3 – página da companhia COPEL (Empresas listadas): dados da companhia e outros códigos de negociação (CPLE3, ISIN BRCPLEACNOR8; CPLE99, ISIN BRCPLECDAXX8)</t>
  </si>
  <si>
    <t xml:space="preserve">https://www.b3.com.br (Produtos e Serviços &gt; Empresas listadas &gt; COPEL); consulta registrada por captura de tela da estudante | Seção “Dados da Companhia” | Situação em 24/10/2026 | 24/10/2026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</si>
</sst>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0.00"/>
    <numFmt numFmtId="168" formatCode="0"/>
    <numFmt numFmtId="169" formatCode="#,##0.00;\(#,##0.00\);\-"/>
    <numFmt numFmtId="170" formatCode="0.0000"/>
    <numFmt numFmtId="171" formatCode="0.00\x"/>
    <numFmt numFmtId="172" formatCode="0.0\x"/>
    <numFmt numFmtId="173" formatCode="#,##0.0"/>
    <numFmt numFmtId="174" formatCode="#,##0.0;\(#,##0.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6" min="5" style="0" width="11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23</v>
      </c>
    </row>
    <row r="5" customFormat="false" ht="15" hidden="false" customHeight="false" outlineLevel="0" collapsed="false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</row>
    <row r="6" customFormat="false" ht="15" hidden="false" customHeight="false" outlineLevel="0" collapsed="false">
      <c r="A6" s="2" t="s">
        <v>31</v>
      </c>
    </row>
    <row r="7" customFormat="false" ht="15" hidden="false" customHeight="false" outlineLevel="0" collapsed="false">
      <c r="A7" s="7" t="s">
        <v>32</v>
      </c>
      <c r="B7" s="8" t="n">
        <v>3130363</v>
      </c>
      <c r="C7" s="8" t="n">
        <v>4161939</v>
      </c>
      <c r="D7" s="9" t="n">
        <f aca="false">B7-C7</f>
        <v>-1031576</v>
      </c>
      <c r="E7" s="10" t="n">
        <f aca="false">IF(C7=0,"",D7/C7)</f>
        <v>-0.247859471270482</v>
      </c>
      <c r="F7" s="10" t="n">
        <f aca="false">B7/B$48</f>
        <v>0.0518148007490128</v>
      </c>
    </row>
    <row r="8" customFormat="false" ht="15" hidden="false" customHeight="false" outlineLevel="0" collapsed="false">
      <c r="A8" s="7" t="s">
        <v>33</v>
      </c>
      <c r="B8" s="8" t="n">
        <v>895</v>
      </c>
      <c r="C8" s="8" t="n">
        <v>623</v>
      </c>
      <c r="D8" s="9" t="n">
        <f aca="false">B8-C8</f>
        <v>272</v>
      </c>
      <c r="E8" s="10" t="n">
        <f aca="false">IF(C8=0,"",D8/C8)</f>
        <v>0.436597110754414</v>
      </c>
      <c r="F8" s="10" t="n">
        <f aca="false">B8/B$48</f>
        <v>1.48143351650804E-005</v>
      </c>
    </row>
    <row r="9" customFormat="false" ht="15" hidden="false" customHeight="false" outlineLevel="0" collapsed="false">
      <c r="A9" s="7" t="s">
        <v>34</v>
      </c>
      <c r="B9" s="8" t="n">
        <v>9</v>
      </c>
      <c r="C9" s="8" t="n">
        <v>9</v>
      </c>
      <c r="D9" s="9" t="n">
        <f aca="false">B9-C9</f>
        <v>0</v>
      </c>
      <c r="E9" s="10" t="n">
        <f aca="false">IF(C9=0,"",D9/C9)</f>
        <v>0</v>
      </c>
      <c r="F9" s="10" t="n">
        <f aca="false">B9/B$48</f>
        <v>1.48970968140473E-007</v>
      </c>
    </row>
    <row r="10" customFormat="false" ht="15" hidden="false" customHeight="false" outlineLevel="0" collapsed="false">
      <c r="A10" s="7" t="s">
        <v>35</v>
      </c>
      <c r="B10" s="8" t="n">
        <v>4300957</v>
      </c>
      <c r="C10" s="8" t="n">
        <v>3962702</v>
      </c>
      <c r="D10" s="9" t="n">
        <f aca="false">B10-C10</f>
        <v>338255</v>
      </c>
      <c r="E10" s="10" t="n">
        <f aca="false">IF(C10=0,"",D10/C10)</f>
        <v>0.0853596863957976</v>
      </c>
      <c r="F10" s="10" t="n">
        <f aca="false">B10/B$48</f>
        <v>0.0711908586911715</v>
      </c>
    </row>
    <row r="11" customFormat="false" ht="15" hidden="false" customHeight="false" outlineLevel="0" collapsed="false">
      <c r="A11" s="7" t="s">
        <v>36</v>
      </c>
      <c r="B11" s="8" t="n">
        <v>141297</v>
      </c>
      <c r="C11" s="8" t="n">
        <v>82278</v>
      </c>
      <c r="D11" s="9" t="n">
        <f aca="false">B11-C11</f>
        <v>59019</v>
      </c>
      <c r="E11" s="10" t="n">
        <f aca="false">IF(C11=0,"",D11/C11)</f>
        <v>0.717312039670386</v>
      </c>
      <c r="F11" s="10" t="n">
        <f aca="false">B11/B$48</f>
        <v>0.00233879454281604</v>
      </c>
    </row>
    <row r="12" customFormat="false" ht="15" hidden="false" customHeight="false" outlineLevel="0" collapsed="false">
      <c r="A12" s="7" t="s">
        <v>37</v>
      </c>
      <c r="B12" s="8" t="n">
        <v>400463</v>
      </c>
      <c r="C12" s="8" t="n">
        <v>0</v>
      </c>
      <c r="D12" s="9" t="n">
        <f aca="false">B12-C12</f>
        <v>400463</v>
      </c>
      <c r="E12" s="10" t="str">
        <f aca="false">IF(C12=0,"",D12/C12)</f>
        <v/>
      </c>
      <c r="F12" s="10" t="n">
        <f aca="false">B12/B$48</f>
        <v>0.00662859564604869</v>
      </c>
    </row>
    <row r="13" customFormat="false" ht="15" hidden="false" customHeight="false" outlineLevel="0" collapsed="false">
      <c r="A13" s="7" t="s">
        <v>38</v>
      </c>
      <c r="B13" s="8" t="n">
        <v>12867</v>
      </c>
      <c r="C13" s="8" t="n">
        <v>10609</v>
      </c>
      <c r="D13" s="9" t="n">
        <f aca="false">B13-C13</f>
        <v>2258</v>
      </c>
      <c r="E13" s="10" t="n">
        <f aca="false">IF(C13=0,"",D13/C13)</f>
        <v>0.212838156282402</v>
      </c>
      <c r="F13" s="10" t="n">
        <f aca="false">B13/B$48</f>
        <v>0.000212978827451496</v>
      </c>
    </row>
    <row r="14" customFormat="false" ht="15" hidden="false" customHeight="false" outlineLevel="0" collapsed="false">
      <c r="A14" s="7" t="s">
        <v>39</v>
      </c>
      <c r="B14" s="8" t="n">
        <v>392594</v>
      </c>
      <c r="C14" s="8" t="n">
        <v>283896</v>
      </c>
      <c r="D14" s="9" t="n">
        <f aca="false">B14-C14</f>
        <v>108698</v>
      </c>
      <c r="E14" s="10" t="n">
        <f aca="false">IF(C14=0,"",D14/C14)</f>
        <v>0.382879646067574</v>
      </c>
      <c r="F14" s="10" t="n">
        <f aca="false">B14/B$48</f>
        <v>0.00649834536290453</v>
      </c>
    </row>
    <row r="15" customFormat="false" ht="15" hidden="false" customHeight="false" outlineLevel="0" collapsed="false">
      <c r="A15" s="7" t="s">
        <v>40</v>
      </c>
      <c r="B15" s="8" t="n">
        <v>263645</v>
      </c>
      <c r="C15" s="8" t="n">
        <v>217350</v>
      </c>
      <c r="D15" s="9" t="n">
        <f aca="false">B15-C15</f>
        <v>46295</v>
      </c>
      <c r="E15" s="10" t="n">
        <f aca="false">IF(C15=0,"",D15/C15)</f>
        <v>0.212997469519209</v>
      </c>
      <c r="F15" s="10" t="n">
        <f aca="false">B15/B$48</f>
        <v>0.00436393898837722</v>
      </c>
    </row>
    <row r="16" customFormat="false" ht="15" hidden="false" customHeight="false" outlineLevel="0" collapsed="false">
      <c r="A16" s="7" t="s">
        <v>41</v>
      </c>
      <c r="B16" s="8" t="n">
        <v>1050086</v>
      </c>
      <c r="C16" s="8" t="n">
        <v>949674</v>
      </c>
      <c r="D16" s="9" t="n">
        <f aca="false">B16-C16</f>
        <v>100412</v>
      </c>
      <c r="E16" s="10" t="n">
        <f aca="false">IF(C16=0,"",D16/C16)</f>
        <v>0.105733125261932</v>
      </c>
      <c r="F16" s="10" t="n">
        <f aca="false">B16/B$48</f>
        <v>0.0173813697834174</v>
      </c>
    </row>
    <row r="17" customFormat="false" ht="15" hidden="false" customHeight="false" outlineLevel="0" collapsed="false">
      <c r="A17" s="7" t="s">
        <v>42</v>
      </c>
      <c r="B17" s="8" t="n">
        <v>173398</v>
      </c>
      <c r="C17" s="8" t="n">
        <v>136324</v>
      </c>
      <c r="D17" s="9" t="n">
        <f aca="false">B17-C17</f>
        <v>37074</v>
      </c>
      <c r="E17" s="10" t="n">
        <f aca="false">IF(C17=0,"",D17/C17)</f>
        <v>0.271955048267363</v>
      </c>
      <c r="F17" s="10" t="n">
        <f aca="false">B17/B$48</f>
        <v>0.00287014088151352</v>
      </c>
    </row>
    <row r="18" customFormat="false" ht="15" hidden="false" customHeight="false" outlineLevel="0" collapsed="false">
      <c r="A18" s="7" t="s">
        <v>43</v>
      </c>
      <c r="B18" s="8" t="n">
        <v>502825</v>
      </c>
      <c r="C18" s="8" t="n">
        <v>296128</v>
      </c>
      <c r="D18" s="9" t="n">
        <f aca="false">B18-C18</f>
        <v>206697</v>
      </c>
      <c r="E18" s="10" t="n">
        <f aca="false">IF(C18=0,"",D18/C18)</f>
        <v>0.697998838340177</v>
      </c>
      <c r="F18" s="10" t="n">
        <f aca="false">B18/B$48</f>
        <v>0.00832292522835925</v>
      </c>
    </row>
    <row r="19" customFormat="false" ht="15" hidden="false" customHeight="false" outlineLevel="0" collapsed="false">
      <c r="A19" s="7" t="s">
        <v>44</v>
      </c>
      <c r="B19" s="8" t="n">
        <v>426106</v>
      </c>
      <c r="C19" s="8" t="n">
        <v>994618</v>
      </c>
      <c r="D19" s="9" t="n">
        <f aca="false">B19-C19</f>
        <v>-568512</v>
      </c>
      <c r="E19" s="10" t="n">
        <f aca="false">IF(C19=0,"",D19/C19)</f>
        <v>-0.571588288166914</v>
      </c>
      <c r="F19" s="10" t="n">
        <f aca="false">B19/B$48</f>
        <v>0.00705304703894048</v>
      </c>
    </row>
    <row r="20" customFormat="false" ht="15" hidden="false" customHeight="false" outlineLevel="0" collapsed="false">
      <c r="A20" s="7" t="s">
        <v>45</v>
      </c>
      <c r="B20" s="8" t="n">
        <v>60972</v>
      </c>
      <c r="C20" s="8" t="n">
        <v>63211</v>
      </c>
      <c r="D20" s="9" t="n">
        <f aca="false">B20-C20</f>
        <v>-2239</v>
      </c>
      <c r="E20" s="10" t="n">
        <f aca="false">IF(C20=0,"",D20/C20)</f>
        <v>-0.0354210501336793</v>
      </c>
      <c r="F20" s="10" t="n">
        <f aca="false">B20/B$48</f>
        <v>0.00100922865216232</v>
      </c>
    </row>
    <row r="21" customFormat="false" ht="15" hidden="false" customHeight="false" outlineLevel="0" collapsed="false">
      <c r="A21" s="7" t="s">
        <v>46</v>
      </c>
      <c r="B21" s="8" t="n">
        <v>0</v>
      </c>
      <c r="C21" s="8" t="n">
        <v>621</v>
      </c>
      <c r="D21" s="9" t="n">
        <f aca="false">B21-C21</f>
        <v>-621</v>
      </c>
      <c r="E21" s="10" t="n">
        <f aca="false">IF(C21=0,"",D21/C21)</f>
        <v>-1</v>
      </c>
      <c r="F21" s="10" t="n">
        <f aca="false">B21/B$48</f>
        <v>0</v>
      </c>
    </row>
    <row r="22" customFormat="false" ht="15" hidden="false" customHeight="false" outlineLevel="0" collapsed="false">
      <c r="A22" s="7" t="s">
        <v>47</v>
      </c>
      <c r="B22" s="8" t="n">
        <v>25177</v>
      </c>
      <c r="C22" s="8" t="n">
        <v>1881826</v>
      </c>
      <c r="D22" s="9" t="n">
        <f aca="false">B22-C22</f>
        <v>-1856649</v>
      </c>
      <c r="E22" s="10" t="n">
        <f aca="false">IF(C22=0,"",D22/C22)</f>
        <v>-0.986620973458758</v>
      </c>
      <c r="F22" s="10" t="n">
        <f aca="false">B22/B$48</f>
        <v>0.000416738007208076</v>
      </c>
    </row>
    <row r="23" customFormat="false" ht="15" hidden="false" customHeight="false" outlineLevel="0" collapsed="false">
      <c r="A23" s="11" t="s">
        <v>48</v>
      </c>
      <c r="B23" s="12" t="n">
        <f aca="false">SUM(B7:B22)</f>
        <v>10881654</v>
      </c>
      <c r="C23" s="12" t="n">
        <f aca="false">SUM(C7:C22)</f>
        <v>13041808</v>
      </c>
      <c r="D23" s="9" t="n">
        <f aca="false">B23-C23</f>
        <v>-2160154</v>
      </c>
      <c r="E23" s="10" t="n">
        <f aca="false">IF(C23=0,"",D23/C23)</f>
        <v>-0.165633016526543</v>
      </c>
      <c r="F23" s="10" t="n">
        <f aca="false">B23/B$48</f>
        <v>0.180116725705517</v>
      </c>
      <c r="G23" s="7" t="str">
        <f aca="false">IF(AND(B23=10881654,C23=13041808),"Confere com publicado","DIFERENÇA")</f>
        <v>Confere com publicado</v>
      </c>
    </row>
    <row r="25" customFormat="false" ht="15" hidden="false" customHeight="false" outlineLevel="0" collapsed="false">
      <c r="A25" s="2" t="s">
        <v>49</v>
      </c>
    </row>
    <row r="26" customFormat="false" ht="15" hidden="false" customHeight="false" outlineLevel="0" collapsed="false">
      <c r="A26" s="7" t="s">
        <v>33</v>
      </c>
      <c r="B26" s="8" t="n">
        <v>690886</v>
      </c>
      <c r="C26" s="8" t="n">
        <v>529085</v>
      </c>
      <c r="D26" s="9" t="n">
        <f aca="false">B26-C26</f>
        <v>161801</v>
      </c>
      <c r="E26" s="10" t="n">
        <f aca="false">IF(C26=0,"",D26/C26)</f>
        <v>0.305812865607606</v>
      </c>
      <c r="F26" s="10" t="n">
        <f aca="false">B26/B$48</f>
        <v>0.0114357729216332</v>
      </c>
    </row>
    <row r="27" customFormat="false" ht="15" hidden="false" customHeight="false" outlineLevel="0" collapsed="false">
      <c r="A27" s="7" t="s">
        <v>50</v>
      </c>
      <c r="B27" s="8" t="n">
        <v>30627</v>
      </c>
      <c r="C27" s="8" t="n">
        <v>30603</v>
      </c>
      <c r="D27" s="9" t="n">
        <f aca="false">B27-C27</f>
        <v>24</v>
      </c>
      <c r="E27" s="10" t="n">
        <f aca="false">IF(C27=0,"",D27/C27)</f>
        <v>0.000784236839525537</v>
      </c>
      <c r="F27" s="10" t="n">
        <f aca="false">B27/B$48</f>
        <v>0.000506948204582029</v>
      </c>
    </row>
    <row r="28" customFormat="false" ht="15" hidden="false" customHeight="false" outlineLevel="0" collapsed="false">
      <c r="A28" s="7" t="s">
        <v>35</v>
      </c>
      <c r="B28" s="8" t="n">
        <v>162189</v>
      </c>
      <c r="C28" s="8" t="n">
        <v>116180</v>
      </c>
      <c r="D28" s="9" t="n">
        <f aca="false">B28-C28</f>
        <v>46009</v>
      </c>
      <c r="E28" s="10" t="n">
        <f aca="false">IF(C28=0,"",D28/C28)</f>
        <v>0.396014804613531</v>
      </c>
      <c r="F28" s="10" t="n">
        <f aca="false">B28/B$48</f>
        <v>0.00268460581685946</v>
      </c>
    </row>
    <row r="29" customFormat="false" ht="15" hidden="false" customHeight="false" outlineLevel="0" collapsed="false">
      <c r="A29" s="7" t="s">
        <v>51</v>
      </c>
      <c r="B29" s="8" t="n">
        <v>373949</v>
      </c>
      <c r="C29" s="8" t="n">
        <v>394364</v>
      </c>
      <c r="D29" s="9" t="n">
        <f aca="false">B29-C29</f>
        <v>-20415</v>
      </c>
      <c r="E29" s="10" t="n">
        <f aca="false">IF(C29=0,"",D29/C29)</f>
        <v>-0.0517668955584181</v>
      </c>
      <c r="F29" s="10" t="n">
        <f aca="false">B29/B$48</f>
        <v>0.00618972717390685</v>
      </c>
    </row>
    <row r="30" customFormat="false" ht="15" hidden="false" customHeight="false" outlineLevel="0" collapsed="false">
      <c r="A30" s="7" t="s">
        <v>37</v>
      </c>
      <c r="B30" s="8" t="n">
        <v>400463</v>
      </c>
      <c r="C30" s="8" t="n">
        <v>0</v>
      </c>
      <c r="D30" s="9" t="n">
        <f aca="false">B30-C30</f>
        <v>400463</v>
      </c>
      <c r="E30" s="10" t="str">
        <f aca="false">IF(C30=0,"",D30/C30)</f>
        <v/>
      </c>
      <c r="F30" s="10" t="n">
        <f aca="false">B30/B$48</f>
        <v>0.00662859564604869</v>
      </c>
    </row>
    <row r="31" customFormat="false" ht="15" hidden="false" customHeight="false" outlineLevel="0" collapsed="false">
      <c r="A31" s="7" t="s">
        <v>38</v>
      </c>
      <c r="B31" s="8" t="n">
        <v>4590579</v>
      </c>
      <c r="C31" s="8" t="n">
        <v>3497351</v>
      </c>
      <c r="D31" s="9" t="n">
        <f aca="false">B31-C31</f>
        <v>1093228</v>
      </c>
      <c r="E31" s="10" t="n">
        <f aca="false">IF(C31=0,"",D31/C31)</f>
        <v>0.312587441180482</v>
      </c>
      <c r="F31" s="10" t="n">
        <f aca="false">B31/B$48</f>
        <v>0.0759847775505915</v>
      </c>
    </row>
    <row r="32" customFormat="false" ht="15" hidden="false" customHeight="false" outlineLevel="0" collapsed="false">
      <c r="A32" s="7" t="s">
        <v>39</v>
      </c>
      <c r="B32" s="8" t="n">
        <v>9202412</v>
      </c>
      <c r="C32" s="8" t="n">
        <v>6927010</v>
      </c>
      <c r="D32" s="9" t="n">
        <f aca="false">B32-C32</f>
        <v>2275402</v>
      </c>
      <c r="E32" s="10" t="n">
        <f aca="false">IF(C32=0,"",D32/C32)</f>
        <v>0.328482563183827</v>
      </c>
      <c r="F32" s="10" t="n">
        <f aca="false">B32/B$48</f>
        <v>0.152321358318612</v>
      </c>
    </row>
    <row r="33" customFormat="false" ht="15" hidden="false" customHeight="false" outlineLevel="0" collapsed="false">
      <c r="A33" s="7" t="s">
        <v>40</v>
      </c>
      <c r="B33" s="8" t="n">
        <v>597856</v>
      </c>
      <c r="C33" s="8" t="n">
        <v>479938</v>
      </c>
      <c r="D33" s="9" t="n">
        <f aca="false">B33-C33</f>
        <v>117918</v>
      </c>
      <c r="E33" s="10" t="n">
        <f aca="false">IF(C33=0,"",D33/C33)</f>
        <v>0.245694235505419</v>
      </c>
      <c r="F33" s="10" t="n">
        <f aca="false">B33/B$48</f>
        <v>0.00989590968095451</v>
      </c>
    </row>
    <row r="34" customFormat="false" ht="15" hidden="false" customHeight="false" outlineLevel="0" collapsed="false">
      <c r="A34" s="7" t="s">
        <v>41</v>
      </c>
      <c r="B34" s="8" t="n">
        <v>794296</v>
      </c>
      <c r="C34" s="8" t="n">
        <v>681846</v>
      </c>
      <c r="D34" s="9" t="n">
        <f aca="false">B34-C34</f>
        <v>112450</v>
      </c>
      <c r="E34" s="10" t="n">
        <f aca="false">IF(C34=0,"",D34/C34)</f>
        <v>0.164919937933199</v>
      </c>
      <c r="F34" s="10" t="n">
        <f aca="false">B34/B$48</f>
        <v>0.0131474493455672</v>
      </c>
    </row>
    <row r="35" customFormat="false" ht="15" hidden="false" customHeight="false" outlineLevel="0" collapsed="false">
      <c r="A35" s="7" t="s">
        <v>43</v>
      </c>
      <c r="B35" s="8" t="n">
        <v>102589</v>
      </c>
      <c r="C35" s="8" t="n">
        <v>164043</v>
      </c>
      <c r="D35" s="9" t="n">
        <f aca="false">B35-C35</f>
        <v>-61454</v>
      </c>
      <c r="E35" s="10" t="n">
        <f aca="false">IF(C35=0,"",D35/C35)</f>
        <v>-0.374621288320745</v>
      </c>
      <c r="F35" s="10" t="n">
        <f aca="false">B35/B$48</f>
        <v>0.00169808696117366</v>
      </c>
    </row>
    <row r="36" customFormat="false" ht="15" hidden="false" customHeight="false" outlineLevel="0" collapsed="false">
      <c r="A36" s="7" t="s">
        <v>52</v>
      </c>
      <c r="B36" s="8" t="n">
        <v>991404</v>
      </c>
      <c r="C36" s="8" t="n">
        <v>1174175</v>
      </c>
      <c r="D36" s="9" t="n">
        <f aca="false">B36-C36</f>
        <v>-182771</v>
      </c>
      <c r="E36" s="10" t="n">
        <f aca="false">IF(C36=0,"",D36/C36)</f>
        <v>-0.15565907977942</v>
      </c>
      <c r="F36" s="10" t="n">
        <f aca="false">B36/B$48</f>
        <v>0.0164100459664819</v>
      </c>
    </row>
    <row r="37" customFormat="false" ht="15" hidden="false" customHeight="false" outlineLevel="0" collapsed="false">
      <c r="A37" s="7" t="s">
        <v>44</v>
      </c>
      <c r="B37" s="8" t="n">
        <v>1127582</v>
      </c>
      <c r="C37" s="8" t="n">
        <v>1320526</v>
      </c>
      <c r="D37" s="9" t="n">
        <f aca="false">B37-C37</f>
        <v>-192944</v>
      </c>
      <c r="E37" s="10" t="n">
        <f aca="false">IF(C37=0,"",D37/C37)</f>
        <v>-0.146111473761213</v>
      </c>
      <c r="F37" s="10" t="n">
        <f aca="false">B37/B$48</f>
        <v>0.0186641091330856</v>
      </c>
    </row>
    <row r="38" customFormat="false" ht="15" hidden="false" customHeight="false" outlineLevel="0" collapsed="false">
      <c r="A38" s="7" t="s">
        <v>45</v>
      </c>
      <c r="B38" s="8" t="n">
        <v>507</v>
      </c>
      <c r="C38" s="8" t="n">
        <v>0</v>
      </c>
      <c r="D38" s="9" t="n">
        <f aca="false">B38-C38</f>
        <v>507</v>
      </c>
      <c r="E38" s="10" t="str">
        <f aca="false">IF(C38=0,"",D38/C38)</f>
        <v/>
      </c>
      <c r="F38" s="10" t="n">
        <f aca="false">B38/B$48</f>
        <v>8.39203120524664E-006</v>
      </c>
    </row>
    <row r="39" customFormat="false" ht="15" hidden="false" customHeight="false" outlineLevel="0" collapsed="false">
      <c r="A39" s="11" t="s">
        <v>53</v>
      </c>
      <c r="B39" s="12" t="n">
        <f aca="false">SUM(B26:B38)</f>
        <v>19065339</v>
      </c>
      <c r="C39" s="12" t="n">
        <f aca="false">SUM(C26:C38)</f>
        <v>15315121</v>
      </c>
      <c r="D39" s="9" t="n">
        <f aca="false">B39-C39</f>
        <v>3750218</v>
      </c>
      <c r="E39" s="10" t="n">
        <f aca="false">IF(C39=0,"",D39/C39)</f>
        <v>0.244870282121832</v>
      </c>
      <c r="F39" s="10" t="n">
        <f aca="false">B39/B$48</f>
        <v>0.315575778750702</v>
      </c>
      <c r="G39" s="7" t="str">
        <f aca="false">IF(AND(B39=19065339,C39=15315121),"Confere com publicado","DIFERENÇA")</f>
        <v>Confere com publicado</v>
      </c>
    </row>
    <row r="41" customFormat="false" ht="15" hidden="false" customHeight="false" outlineLevel="0" collapsed="false">
      <c r="A41" s="2" t="s">
        <v>54</v>
      </c>
    </row>
    <row r="42" customFormat="false" ht="15" hidden="false" customHeight="false" outlineLevel="0" collapsed="false">
      <c r="A42" s="7" t="s">
        <v>55</v>
      </c>
      <c r="B42" s="8" t="n">
        <v>2849002</v>
      </c>
      <c r="C42" s="8" t="n">
        <v>3577937</v>
      </c>
      <c r="D42" s="9" t="n">
        <f aca="false">B42-C42</f>
        <v>-728935</v>
      </c>
      <c r="E42" s="10" t="n">
        <f aca="false">IF(C42=0,"",D42/C42)</f>
        <v>-0.20373052963202</v>
      </c>
      <c r="F42" s="10" t="n">
        <f aca="false">B42/B$48</f>
        <v>0.0471576206860159</v>
      </c>
    </row>
    <row r="43" customFormat="false" ht="15" hidden="false" customHeight="false" outlineLevel="0" collapsed="false">
      <c r="A43" s="7" t="s">
        <v>56</v>
      </c>
      <c r="B43" s="8" t="n">
        <v>8145552</v>
      </c>
      <c r="C43" s="8" t="n">
        <v>8516697</v>
      </c>
      <c r="D43" s="9" t="n">
        <f aca="false">B43-C43</f>
        <v>-371145</v>
      </c>
      <c r="E43" s="10" t="n">
        <f aca="false">IF(C43=0,"",D43/C43)</f>
        <v>-0.0435785140647836</v>
      </c>
      <c r="F43" s="10" t="n">
        <f aca="false">B43/B$48</f>
        <v>0.134827863053174</v>
      </c>
    </row>
    <row r="44" customFormat="false" ht="15" hidden="false" customHeight="false" outlineLevel="0" collapsed="false">
      <c r="A44" s="7" t="s">
        <v>57</v>
      </c>
      <c r="B44" s="8" t="n">
        <v>19206609</v>
      </c>
      <c r="C44" s="8" t="n">
        <v>16623610</v>
      </c>
      <c r="D44" s="9" t="n">
        <f aca="false">B44-C44</f>
        <v>2582999</v>
      </c>
      <c r="E44" s="10" t="n">
        <f aca="false">IF(C44=0,"",D44/C44)</f>
        <v>0.155381352185235</v>
      </c>
      <c r="F44" s="10" t="n">
        <f aca="false">B44/B$48</f>
        <v>0.317914126380613</v>
      </c>
    </row>
    <row r="45" customFormat="false" ht="15" hidden="false" customHeight="false" outlineLevel="0" collapsed="false">
      <c r="A45" s="7" t="s">
        <v>58</v>
      </c>
      <c r="B45" s="8" t="n">
        <v>266300</v>
      </c>
      <c r="C45" s="8" t="n">
        <v>308983</v>
      </c>
      <c r="D45" s="9" t="n">
        <f aca="false">B45-C45</f>
        <v>-42683</v>
      </c>
      <c r="E45" s="10" t="n">
        <f aca="false">IF(C45=0,"",D45/C45)</f>
        <v>-0.138140286035154</v>
      </c>
      <c r="F45" s="10" t="n">
        <f aca="false">B45/B$48</f>
        <v>0.00440788542397866</v>
      </c>
    </row>
    <row r="46" customFormat="false" ht="15" hidden="false" customHeight="false" outlineLevel="0" collapsed="false">
      <c r="A46" s="11" t="s">
        <v>59</v>
      </c>
      <c r="B46" s="12" t="n">
        <f aca="false">SUM(B42:B45)</f>
        <v>30467463</v>
      </c>
      <c r="C46" s="12" t="n">
        <f aca="false">SUM(C42:C45)</f>
        <v>29027227</v>
      </c>
      <c r="D46" s="9" t="n">
        <f aca="false">B46-C46</f>
        <v>1440236</v>
      </c>
      <c r="E46" s="10" t="n">
        <f aca="false">IF(C46=0,"",D46/C46)</f>
        <v>0.0496167270817843</v>
      </c>
      <c r="F46" s="10" t="n">
        <f aca="false">B46/B$48</f>
        <v>0.504307495543782</v>
      </c>
      <c r="G46" s="7" t="str">
        <f aca="false">IF(AND(B46=30467463,C46=29027227),"Confere com publicado","DIFERENÇA")</f>
        <v>Confere com publicado</v>
      </c>
    </row>
    <row r="48" customFormat="false" ht="15" hidden="false" customHeight="false" outlineLevel="0" collapsed="false">
      <c r="A48" s="11" t="s">
        <v>60</v>
      </c>
      <c r="B48" s="12" t="n">
        <f aca="false">B23+B39+B46</f>
        <v>60414456</v>
      </c>
      <c r="C48" s="12" t="n">
        <f aca="false">C23+C39+C46</f>
        <v>57384156</v>
      </c>
      <c r="D48" s="9" t="n">
        <f aca="false">B48-C48</f>
        <v>3030300</v>
      </c>
      <c r="E48" s="10" t="n">
        <f aca="false">IF(C48=0,"",D48/C48)</f>
        <v>0.0528072592023485</v>
      </c>
      <c r="F48" s="10" t="n">
        <f aca="false">B48/B$48</f>
        <v>1</v>
      </c>
      <c r="G48" s="7" t="str">
        <f aca="false">IF(AND(B48=60414456,C48=57384156),"Confere com publicado","DIFERENÇA")</f>
        <v>Confere com publicado</v>
      </c>
    </row>
    <row r="50" customFormat="false" ht="15" hidden="false" customHeight="false" outlineLevel="0" collapsed="false">
      <c r="A50" s="2" t="s">
        <v>61</v>
      </c>
    </row>
    <row r="51" customFormat="false" ht="15" hidden="false" customHeight="false" outlineLevel="0" collapsed="false">
      <c r="A51" s="7" t="s">
        <v>62</v>
      </c>
      <c r="B51" s="8" t="n">
        <v>310773</v>
      </c>
      <c r="C51" s="8" t="n">
        <v>411102</v>
      </c>
      <c r="D51" s="9" t="n">
        <f aca="false">B51-C51</f>
        <v>-100329</v>
      </c>
      <c r="E51" s="10" t="n">
        <f aca="false">IF(C51=0,"",D51/C51)</f>
        <v>-0.244048922165302</v>
      </c>
      <c r="F51" s="10" t="n">
        <f aca="false">B51/B$101</f>
        <v>0.00514401718687991</v>
      </c>
    </row>
    <row r="52" customFormat="false" ht="15" hidden="false" customHeight="false" outlineLevel="0" collapsed="false">
      <c r="A52" s="7" t="s">
        <v>63</v>
      </c>
      <c r="B52" s="8" t="n">
        <v>3059667</v>
      </c>
      <c r="C52" s="8" t="n">
        <v>2324423</v>
      </c>
      <c r="D52" s="9" t="n">
        <f aca="false">B52-C52</f>
        <v>735244</v>
      </c>
      <c r="E52" s="10" t="n">
        <f aca="false">IF(C52=0,"",D52/C52)</f>
        <v>0.31631247840862</v>
      </c>
      <c r="F52" s="10" t="n">
        <f aca="false">B52/B$101</f>
        <v>0.0506446172419396</v>
      </c>
    </row>
    <row r="53" customFormat="false" ht="15" hidden="false" customHeight="false" outlineLevel="0" collapsed="false">
      <c r="A53" s="7" t="s">
        <v>64</v>
      </c>
      <c r="B53" s="8" t="n">
        <v>81875</v>
      </c>
      <c r="C53" s="8" t="n">
        <v>83482</v>
      </c>
      <c r="D53" s="9" t="n">
        <f aca="false">B53-C53</f>
        <v>-1607</v>
      </c>
      <c r="E53" s="10" t="n">
        <f aca="false">IF(C53=0,"",D53/C53)</f>
        <v>-0.0192496586090415</v>
      </c>
      <c r="F53" s="10" t="n">
        <f aca="false">B53/B$101</f>
        <v>0.00135522200183347</v>
      </c>
    </row>
    <row r="54" customFormat="false" ht="15" hidden="false" customHeight="false" outlineLevel="0" collapsed="false">
      <c r="A54" s="7" t="s">
        <v>65</v>
      </c>
      <c r="B54" s="8" t="n">
        <v>677273</v>
      </c>
      <c r="C54" s="8" t="n">
        <v>302345</v>
      </c>
      <c r="D54" s="9" t="n">
        <f aca="false">B54-C54</f>
        <v>374928</v>
      </c>
      <c r="E54" s="10" t="n">
        <f aca="false">IF(C54=0,"",D54/C54)</f>
        <v>1.24006681109329</v>
      </c>
      <c r="F54" s="10" t="n">
        <f aca="false">B54/B$101</f>
        <v>0.0112104460561558</v>
      </c>
    </row>
    <row r="55" customFormat="false" ht="15" hidden="false" customHeight="false" outlineLevel="0" collapsed="false">
      <c r="A55" s="7" t="s">
        <v>66</v>
      </c>
      <c r="B55" s="8" t="n">
        <v>217827</v>
      </c>
      <c r="C55" s="8" t="n">
        <v>1231205</v>
      </c>
      <c r="D55" s="9" t="n">
        <f aca="false">B55-C55</f>
        <v>-1013378</v>
      </c>
      <c r="E55" s="10" t="n">
        <f aca="false">IF(C55=0,"",D55/C55)</f>
        <v>-0.823078203873441</v>
      </c>
      <c r="F55" s="10" t="n">
        <f aca="false">B55/B$101</f>
        <v>0.00360554434190387</v>
      </c>
    </row>
    <row r="56" customFormat="false" ht="15" hidden="false" customHeight="false" outlineLevel="0" collapsed="false">
      <c r="A56" s="7" t="s">
        <v>67</v>
      </c>
      <c r="B56" s="8" t="n">
        <v>1850538</v>
      </c>
      <c r="C56" s="8" t="n">
        <v>2025110</v>
      </c>
      <c r="D56" s="9" t="n">
        <f aca="false">B56-C56</f>
        <v>-174572</v>
      </c>
      <c r="E56" s="10" t="n">
        <f aca="false">IF(C56=0,"",D56/C56)</f>
        <v>-0.0862037123909318</v>
      </c>
      <c r="F56" s="10" t="n">
        <f aca="false">B56/B$101</f>
        <v>0.0306307152711927</v>
      </c>
    </row>
    <row r="57" customFormat="false" ht="15" hidden="false" customHeight="false" outlineLevel="0" collapsed="false">
      <c r="A57" s="7" t="s">
        <v>68</v>
      </c>
      <c r="B57" s="8" t="n">
        <v>2325889</v>
      </c>
      <c r="C57" s="8" t="n">
        <v>3878</v>
      </c>
      <c r="D57" s="9" t="n">
        <f aca="false">B57-C57</f>
        <v>2322011</v>
      </c>
      <c r="E57" s="10" t="n">
        <f aca="false">IF(C57=0,"",D57/C57)</f>
        <v>598.76508509541</v>
      </c>
      <c r="F57" s="10" t="n">
        <f aca="false">B57/B$101</f>
        <v>0.0384988817908085</v>
      </c>
    </row>
    <row r="58" customFormat="false" ht="15" hidden="false" customHeight="false" outlineLevel="0" collapsed="false">
      <c r="A58" s="7" t="s">
        <v>69</v>
      </c>
      <c r="B58" s="8" t="n">
        <v>118854</v>
      </c>
      <c r="C58" s="8" t="n">
        <v>95383</v>
      </c>
      <c r="D58" s="9" t="n">
        <f aca="false">B58-C58</f>
        <v>23471</v>
      </c>
      <c r="E58" s="10" t="n">
        <f aca="false">IF(C58=0,"",D58/C58)</f>
        <v>0.246071102817064</v>
      </c>
      <c r="F58" s="10" t="n">
        <f aca="false">B58/B$101</f>
        <v>0.00196731060526308</v>
      </c>
    </row>
    <row r="59" customFormat="false" ht="15" hidden="false" customHeight="false" outlineLevel="0" collapsed="false">
      <c r="A59" s="7" t="s">
        <v>70</v>
      </c>
      <c r="B59" s="8" t="n">
        <v>60108</v>
      </c>
      <c r="C59" s="8" t="n">
        <v>44825</v>
      </c>
      <c r="D59" s="9" t="n">
        <f aca="false">B59-C59</f>
        <v>15283</v>
      </c>
      <c r="E59" s="10" t="n">
        <f aca="false">IF(C59=0,"",D59/C59)</f>
        <v>0.340948131622978</v>
      </c>
      <c r="F59" s="10" t="n">
        <f aca="false">B59/B$101</f>
        <v>0.000994927439220838</v>
      </c>
    </row>
    <row r="60" customFormat="false" ht="15" hidden="false" customHeight="false" outlineLevel="0" collapsed="false">
      <c r="A60" s="7" t="s">
        <v>71</v>
      </c>
      <c r="B60" s="8" t="n">
        <v>99244</v>
      </c>
      <c r="C60" s="8" t="n">
        <v>179149</v>
      </c>
      <c r="D60" s="9" t="n">
        <f aca="false">B60-C60</f>
        <v>-79905</v>
      </c>
      <c r="E60" s="10" t="n">
        <f aca="false">IF(C60=0,"",D60/C60)</f>
        <v>-0.446025375525401</v>
      </c>
      <c r="F60" s="10" t="n">
        <f aca="false">B60/B$101</f>
        <v>0.00164271941801479</v>
      </c>
    </row>
    <row r="61" customFormat="false" ht="15" hidden="false" customHeight="false" outlineLevel="0" collapsed="false">
      <c r="A61" s="7" t="s">
        <v>72</v>
      </c>
      <c r="B61" s="8" t="n">
        <v>147205</v>
      </c>
      <c r="C61" s="8" t="n">
        <v>113092</v>
      </c>
      <c r="D61" s="9" t="n">
        <f aca="false">B61-C61</f>
        <v>34113</v>
      </c>
      <c r="E61" s="10" t="n">
        <f aca="false">IF(C61=0,"",D61/C61)</f>
        <v>0.301639373253634</v>
      </c>
      <c r="F61" s="10" t="n">
        <f aca="false">B61/B$101</f>
        <v>0.00243658570723537</v>
      </c>
    </row>
    <row r="62" customFormat="false" ht="15" hidden="false" customHeight="false" outlineLevel="0" collapsed="false">
      <c r="A62" s="7" t="s">
        <v>73</v>
      </c>
      <c r="B62" s="8" t="n">
        <v>883990</v>
      </c>
      <c r="C62" s="8" t="n">
        <v>935322</v>
      </c>
      <c r="D62" s="9" t="n">
        <f aca="false">B62-C62</f>
        <v>-51332</v>
      </c>
      <c r="E62" s="10" t="n">
        <f aca="false">IF(C62=0,"",D62/C62)</f>
        <v>-0.0548816343462465</v>
      </c>
      <c r="F62" s="10" t="n">
        <f aca="false">B62/B$101</f>
        <v>0.0146320940140552</v>
      </c>
    </row>
    <row r="63" customFormat="false" ht="15" hidden="false" customHeight="false" outlineLevel="0" collapsed="false">
      <c r="A63" s="7" t="s">
        <v>74</v>
      </c>
      <c r="B63" s="8" t="n">
        <v>58741</v>
      </c>
      <c r="C63" s="8" t="n">
        <v>57502</v>
      </c>
      <c r="D63" s="9" t="n">
        <f aca="false">B63-C63</f>
        <v>1239</v>
      </c>
      <c r="E63" s="10" t="n">
        <f aca="false">IF(C63=0,"",D63/C63)</f>
        <v>0.0215470766234218</v>
      </c>
      <c r="F63" s="10" t="n">
        <f aca="false">B63/B$101</f>
        <v>0.00097230040439328</v>
      </c>
    </row>
    <row r="64" customFormat="false" ht="15" hidden="false" customHeight="false" outlineLevel="0" collapsed="false">
      <c r="A64" s="7" t="s">
        <v>40</v>
      </c>
      <c r="B64" s="8" t="n">
        <v>262821</v>
      </c>
      <c r="C64" s="8" t="n">
        <v>214955</v>
      </c>
      <c r="D64" s="9" t="n">
        <f aca="false">B64-C64</f>
        <v>47866</v>
      </c>
      <c r="E64" s="10" t="n">
        <f aca="false">IF(C64=0,"",D64/C64)</f>
        <v>0.222679165406713</v>
      </c>
      <c r="F64" s="10" t="n">
        <f aca="false">B64/B$101</f>
        <v>0.00435029986862747</v>
      </c>
    </row>
    <row r="65" customFormat="false" ht="15" hidden="false" customHeight="false" outlineLevel="0" collapsed="false">
      <c r="A65" s="7" t="s">
        <v>75</v>
      </c>
      <c r="B65" s="8" t="n">
        <v>788232</v>
      </c>
      <c r="C65" s="8" t="n">
        <v>1199195</v>
      </c>
      <c r="D65" s="9" t="n">
        <f aca="false">B65-C65</f>
        <v>-410963</v>
      </c>
      <c r="E65" s="10" t="n">
        <f aca="false">IF(C65=0,"",D65/C65)</f>
        <v>-0.342699060619832</v>
      </c>
      <c r="F65" s="10" t="n">
        <f aca="false">B65/B$101</f>
        <v>0.0130470760177001</v>
      </c>
    </row>
    <row r="66" customFormat="false" ht="15" hidden="false" customHeight="false" outlineLevel="0" collapsed="false">
      <c r="A66" s="7" t="s">
        <v>76</v>
      </c>
      <c r="B66" s="8" t="n">
        <v>119280</v>
      </c>
      <c r="C66" s="8" t="n">
        <v>580000</v>
      </c>
      <c r="D66" s="9" t="n">
        <f aca="false">B66-C66</f>
        <v>-460720</v>
      </c>
      <c r="E66" s="10" t="n">
        <f aca="false">IF(C66=0,"",D66/C66)</f>
        <v>-0.794344827586207</v>
      </c>
      <c r="F66" s="10" t="n">
        <f aca="false">B66/B$101</f>
        <v>0.00197436189775507</v>
      </c>
    </row>
    <row r="67" customFormat="false" ht="15" hidden="false" customHeight="false" outlineLevel="0" collapsed="false">
      <c r="A67" s="7" t="s">
        <v>77</v>
      </c>
      <c r="B67" s="8" t="n">
        <v>0</v>
      </c>
      <c r="C67" s="8" t="n">
        <v>541412</v>
      </c>
      <c r="D67" s="9" t="n">
        <f aca="false">B67-C67</f>
        <v>-541412</v>
      </c>
      <c r="E67" s="10" t="n">
        <f aca="false">IF(C67=0,"",D67/C67)</f>
        <v>-1</v>
      </c>
      <c r="F67" s="10" t="n">
        <f aca="false">B67/B$101</f>
        <v>0</v>
      </c>
    </row>
    <row r="68" customFormat="false" ht="15" hidden="false" customHeight="false" outlineLevel="0" collapsed="false">
      <c r="A68" s="11" t="s">
        <v>78</v>
      </c>
      <c r="B68" s="12" t="n">
        <f aca="false">SUM(B51:B67)</f>
        <v>11062317</v>
      </c>
      <c r="C68" s="12" t="n">
        <f aca="false">SUM(C51:C67)</f>
        <v>10342380</v>
      </c>
      <c r="D68" s="9" t="n">
        <f aca="false">B68-C68</f>
        <v>719937</v>
      </c>
      <c r="E68" s="10" t="n">
        <f aca="false">IF(C68=0,"",D68/C68)</f>
        <v>0.0696103798158644</v>
      </c>
      <c r="F68" s="10" t="n">
        <f aca="false">B68/B$101</f>
        <v>0.183107119262979</v>
      </c>
      <c r="G68" s="7" t="str">
        <f aca="false">IF(AND(B68=11062317,C68=10342380),"Confere com publicado","DIFERENÇA")</f>
        <v>Confere com publicado</v>
      </c>
    </row>
    <row r="70" customFormat="false" ht="15" hidden="false" customHeight="false" outlineLevel="0" collapsed="false">
      <c r="A70" s="2" t="s">
        <v>79</v>
      </c>
    </row>
    <row r="71" customFormat="false" ht="15" hidden="false" customHeight="false" outlineLevel="0" collapsed="false">
      <c r="A71" s="7" t="s">
        <v>62</v>
      </c>
      <c r="B71" s="8" t="n">
        <v>4764</v>
      </c>
      <c r="C71" s="8" t="n">
        <v>457</v>
      </c>
      <c r="D71" s="9" t="n">
        <f aca="false">B71-C71</f>
        <v>4307</v>
      </c>
      <c r="E71" s="10" t="n">
        <f aca="false">IF(C71=0,"",D71/C71)</f>
        <v>9.42450765864333</v>
      </c>
      <c r="F71" s="10" t="n">
        <f aca="false">B71/B$101</f>
        <v>7.88552991356903E-005</v>
      </c>
    </row>
    <row r="72" customFormat="false" ht="15" hidden="false" customHeight="false" outlineLevel="0" collapsed="false">
      <c r="A72" s="7" t="s">
        <v>63</v>
      </c>
      <c r="B72" s="8" t="n">
        <v>133544</v>
      </c>
      <c r="C72" s="8" t="n">
        <v>142380</v>
      </c>
      <c r="D72" s="9" t="n">
        <f aca="false">B72-C72</f>
        <v>-8836</v>
      </c>
      <c r="E72" s="10" t="n">
        <f aca="false">IF(C72=0,"",D72/C72)</f>
        <v>-0.0620592779884815</v>
      </c>
      <c r="F72" s="10" t="n">
        <f aca="false">B72/B$101</f>
        <v>0.00221046432992792</v>
      </c>
    </row>
    <row r="73" customFormat="false" ht="15" hidden="false" customHeight="false" outlineLevel="0" collapsed="false">
      <c r="A73" s="7" t="s">
        <v>52</v>
      </c>
      <c r="B73" s="8" t="n">
        <v>1982596</v>
      </c>
      <c r="C73" s="8" t="n">
        <v>1895459</v>
      </c>
      <c r="D73" s="9" t="n">
        <f aca="false">B73-C73</f>
        <v>87137</v>
      </c>
      <c r="E73" s="10" t="n">
        <f aca="false">IF(C73=0,"",D73/C73)</f>
        <v>0.0459714507145763</v>
      </c>
      <c r="F73" s="10" t="n">
        <f aca="false">B73/B$101</f>
        <v>0.0328165828390477</v>
      </c>
    </row>
    <row r="74" customFormat="false" ht="15" hidden="false" customHeight="false" outlineLevel="0" collapsed="false">
      <c r="A74" s="7" t="s">
        <v>65</v>
      </c>
      <c r="B74" s="8" t="n">
        <v>239448</v>
      </c>
      <c r="C74" s="8" t="n">
        <v>291195</v>
      </c>
      <c r="D74" s="9" t="n">
        <f aca="false">B74-C74</f>
        <v>-51747</v>
      </c>
      <c r="E74" s="10" t="n">
        <f aca="false">IF(C74=0,"",D74/C74)</f>
        <v>-0.177705661154896</v>
      </c>
      <c r="F74" s="10" t="n">
        <f aca="false">B74/B$101</f>
        <v>0.00396342226436666</v>
      </c>
    </row>
    <row r="75" customFormat="false" ht="15" hidden="false" customHeight="false" outlineLevel="0" collapsed="false">
      <c r="A75" s="7" t="s">
        <v>66</v>
      </c>
      <c r="B75" s="8" t="n">
        <v>3150592</v>
      </c>
      <c r="C75" s="8" t="n">
        <v>3387589</v>
      </c>
      <c r="D75" s="9" t="n">
        <f aca="false">B75-C75</f>
        <v>-236997</v>
      </c>
      <c r="E75" s="10" t="n">
        <f aca="false">IF(C75=0,"",D75/C75)</f>
        <v>-0.0699603759487943</v>
      </c>
      <c r="F75" s="10" t="n">
        <f aca="false">B75/B$101</f>
        <v>0.0521496378284032</v>
      </c>
    </row>
    <row r="76" customFormat="false" ht="15" hidden="false" customHeight="false" outlineLevel="0" collapsed="false">
      <c r="A76" s="7" t="s">
        <v>67</v>
      </c>
      <c r="B76" s="8" t="n">
        <v>14796386</v>
      </c>
      <c r="C76" s="8" t="n">
        <v>10602255</v>
      </c>
      <c r="D76" s="9" t="n">
        <f aca="false">B76-C76</f>
        <v>4194131</v>
      </c>
      <c r="E76" s="10" t="n">
        <f aca="false">IF(C76=0,"",D76/C76)</f>
        <v>0.395588579976618</v>
      </c>
      <c r="F76" s="10" t="n">
        <f aca="false">B76/B$101</f>
        <v>0.244914660822238</v>
      </c>
    </row>
    <row r="77" customFormat="false" ht="15" hidden="false" customHeight="false" outlineLevel="0" collapsed="false">
      <c r="A77" s="7" t="s">
        <v>69</v>
      </c>
      <c r="B77" s="8" t="n">
        <v>1359303</v>
      </c>
      <c r="C77" s="8" t="n">
        <v>1063326</v>
      </c>
      <c r="D77" s="9" t="n">
        <f aca="false">B77-C77</f>
        <v>295977</v>
      </c>
      <c r="E77" s="10" t="n">
        <f aca="false">IF(C77=0,"",D77/C77)</f>
        <v>0.27835019551859</v>
      </c>
      <c r="F77" s="10" t="n">
        <f aca="false">B77/B$101</f>
        <v>0.0224996315451388</v>
      </c>
    </row>
    <row r="78" customFormat="false" ht="15" hidden="false" customHeight="false" outlineLevel="0" collapsed="false">
      <c r="A78" s="7" t="s">
        <v>71</v>
      </c>
      <c r="B78" s="8" t="n">
        <v>311856</v>
      </c>
      <c r="C78" s="8" t="n">
        <v>241294</v>
      </c>
      <c r="D78" s="9" t="n">
        <f aca="false">B78-C78</f>
        <v>70562</v>
      </c>
      <c r="E78" s="10" t="n">
        <f aca="false">IF(C78=0,"",D78/C78)</f>
        <v>0.292431639410843</v>
      </c>
      <c r="F78" s="10" t="n">
        <f aca="false">B78/B$101</f>
        <v>0.00516194336004615</v>
      </c>
    </row>
    <row r="79" customFormat="false" ht="15" hidden="false" customHeight="false" outlineLevel="0" collapsed="false">
      <c r="A79" s="7" t="s">
        <v>72</v>
      </c>
      <c r="B79" s="8" t="n">
        <v>959122</v>
      </c>
      <c r="C79" s="8" t="n">
        <v>992252</v>
      </c>
      <c r="D79" s="9" t="n">
        <f aca="false">B79-C79</f>
        <v>-33130</v>
      </c>
      <c r="E79" s="10" t="n">
        <f aca="false">IF(C79=0,"",D79/C79)</f>
        <v>-0.0333886956136143</v>
      </c>
      <c r="F79" s="10" t="n">
        <f aca="false">B79/B$101</f>
        <v>0.0158757036560918</v>
      </c>
    </row>
    <row r="80" customFormat="false" ht="15" hidden="false" customHeight="false" outlineLevel="0" collapsed="false">
      <c r="A80" s="7" t="s">
        <v>73</v>
      </c>
      <c r="B80" s="8" t="n">
        <v>0</v>
      </c>
      <c r="C80" s="8" t="n">
        <v>142488</v>
      </c>
      <c r="D80" s="9" t="n">
        <f aca="false">B80-C80</f>
        <v>-142488</v>
      </c>
      <c r="E80" s="10" t="n">
        <f aca="false">IF(C80=0,"",D80/C80)</f>
        <v>-1</v>
      </c>
      <c r="F80" s="10" t="n">
        <f aca="false">B80/B$101</f>
        <v>0</v>
      </c>
    </row>
    <row r="81" customFormat="false" ht="15" hidden="false" customHeight="false" outlineLevel="0" collapsed="false">
      <c r="A81" s="7" t="s">
        <v>74</v>
      </c>
      <c r="B81" s="8" t="n">
        <v>234221</v>
      </c>
      <c r="C81" s="8" t="n">
        <v>271004</v>
      </c>
      <c r="D81" s="9" t="n">
        <f aca="false">B81-C81</f>
        <v>-36783</v>
      </c>
      <c r="E81" s="10" t="n">
        <f aca="false">IF(C81=0,"",D81/C81)</f>
        <v>-0.13572862393175</v>
      </c>
      <c r="F81" s="10" t="n">
        <f aca="false">B81/B$101</f>
        <v>0.00387690323653663</v>
      </c>
    </row>
    <row r="82" customFormat="false" ht="15" hidden="false" customHeight="false" outlineLevel="0" collapsed="false">
      <c r="A82" s="7" t="s">
        <v>40</v>
      </c>
      <c r="B82" s="8" t="n">
        <v>268621</v>
      </c>
      <c r="C82" s="8" t="n">
        <v>170837</v>
      </c>
      <c r="D82" s="9" t="n">
        <f aca="false">B82-C82</f>
        <v>97784</v>
      </c>
      <c r="E82" s="10" t="n">
        <f aca="false">IF(C82=0,"",D82/C82)</f>
        <v>0.57238186107225</v>
      </c>
      <c r="F82" s="10" t="n">
        <f aca="false">B82/B$101</f>
        <v>0.00444630338142911</v>
      </c>
    </row>
    <row r="83" customFormat="false" ht="15" hidden="false" customHeight="false" outlineLevel="0" collapsed="false">
      <c r="A83" s="7" t="s">
        <v>75</v>
      </c>
      <c r="B83" s="8" t="n">
        <v>224415</v>
      </c>
      <c r="C83" s="8" t="n">
        <v>247021</v>
      </c>
      <c r="D83" s="9" t="n">
        <f aca="false">B83-C83</f>
        <v>-22606</v>
      </c>
      <c r="E83" s="10" t="n">
        <f aca="false">IF(C83=0,"",D83/C83)</f>
        <v>-0.0915144866225948</v>
      </c>
      <c r="F83" s="10" t="n">
        <f aca="false">B83/B$101</f>
        <v>0.00371459109058269</v>
      </c>
    </row>
    <row r="84" customFormat="false" ht="15" hidden="false" customHeight="false" outlineLevel="0" collapsed="false">
      <c r="A84" s="7" t="s">
        <v>76</v>
      </c>
      <c r="B84" s="8" t="n">
        <v>661273</v>
      </c>
      <c r="C84" s="8" t="n">
        <v>1000588</v>
      </c>
      <c r="D84" s="9" t="n">
        <f aca="false">B84-C84</f>
        <v>-339315</v>
      </c>
      <c r="E84" s="10" t="n">
        <f aca="false">IF(C84=0,"",D84/C84)</f>
        <v>-0.339115600027184</v>
      </c>
      <c r="F84" s="10" t="n">
        <f aca="false">B84/B$101</f>
        <v>0.0109456087794617</v>
      </c>
    </row>
    <row r="85" customFormat="false" ht="15" hidden="false" customHeight="false" outlineLevel="0" collapsed="false">
      <c r="A85" s="7" t="s">
        <v>80</v>
      </c>
      <c r="B85" s="8" t="n">
        <v>1934020</v>
      </c>
      <c r="C85" s="8" t="n">
        <v>956696</v>
      </c>
      <c r="D85" s="9" t="n">
        <f aca="false">B85-C85</f>
        <v>977324</v>
      </c>
      <c r="E85" s="10" t="n">
        <f aca="false">IF(C85=0,"",D85/C85)</f>
        <v>1.02156170821243</v>
      </c>
      <c r="F85" s="10" t="n">
        <f aca="false">B85/B$101</f>
        <v>0.0320125368670042</v>
      </c>
    </row>
    <row r="86" customFormat="false" ht="15" hidden="false" customHeight="false" outlineLevel="0" collapsed="false">
      <c r="A86" s="11" t="s">
        <v>81</v>
      </c>
      <c r="B86" s="12" t="n">
        <f aca="false">SUM(B71:B85)</f>
        <v>26260161</v>
      </c>
      <c r="C86" s="12" t="n">
        <f aca="false">SUM(C71:C85)</f>
        <v>21404841</v>
      </c>
      <c r="D86" s="9" t="n">
        <f aca="false">B86-C86</f>
        <v>4855320</v>
      </c>
      <c r="E86" s="10" t="n">
        <f aca="false">IF(C86=0,"",D86/C86)</f>
        <v>0.226832799178466</v>
      </c>
      <c r="F86" s="10" t="n">
        <f aca="false">B86/B$101</f>
        <v>0.43466684529941</v>
      </c>
      <c r="G86" s="7" t="str">
        <f aca="false">IF(AND(B86=26260161,C86=21404841),"Confere com publicado","DIFERENÇA")</f>
        <v>Confere com publicado</v>
      </c>
    </row>
    <row r="88" customFormat="false" ht="15" hidden="false" customHeight="false" outlineLevel="0" collapsed="false">
      <c r="A88" s="2" t="s">
        <v>82</v>
      </c>
    </row>
    <row r="89" customFormat="false" ht="15" hidden="false" customHeight="false" outlineLevel="0" collapsed="false">
      <c r="A89" s="7" t="s">
        <v>83</v>
      </c>
      <c r="B89" s="8" t="n">
        <v>12821758</v>
      </c>
      <c r="C89" s="8" t="n">
        <v>12821758</v>
      </c>
      <c r="D89" s="9" t="n">
        <f aca="false">B89-C89</f>
        <v>0</v>
      </c>
      <c r="E89" s="10" t="n">
        <f aca="false">IF(C89=0,"",D89/C89)</f>
        <v>0</v>
      </c>
      <c r="F89" s="10" t="n">
        <f aca="false">B89/B$101</f>
        <v>0.212229966946984</v>
      </c>
    </row>
    <row r="90" customFormat="false" ht="15" hidden="false" customHeight="false" outlineLevel="0" collapsed="false">
      <c r="A90" s="7" t="s">
        <v>84</v>
      </c>
      <c r="B90" s="8" t="n">
        <v>18638</v>
      </c>
      <c r="C90" s="8" t="n">
        <v>5595</v>
      </c>
      <c r="D90" s="9" t="n">
        <f aca="false">B90-C90</f>
        <v>13043</v>
      </c>
      <c r="E90" s="10" t="n">
        <f aca="false">IF(C90=0,"",D90/C90)</f>
        <v>2.33118856121537</v>
      </c>
      <c r="F90" s="10" t="n">
        <f aca="false">B90/B$101</f>
        <v>0.000308502322689126</v>
      </c>
    </row>
    <row r="91" customFormat="false" ht="15" hidden="false" customHeight="false" outlineLevel="0" collapsed="false">
      <c r="A91" s="7" t="s">
        <v>85</v>
      </c>
      <c r="B91" s="8" t="n">
        <v>287992</v>
      </c>
      <c r="C91" s="8" t="n">
        <v>517408</v>
      </c>
      <c r="D91" s="9" t="n">
        <f aca="false">B91-C91</f>
        <v>-229416</v>
      </c>
      <c r="E91" s="10" t="n">
        <f aca="false">IF(C91=0,"",D91/C91)</f>
        <v>-0.443394767765477</v>
      </c>
      <c r="F91" s="10" t="n">
        <f aca="false">B91/B$101</f>
        <v>0.00476693856185679</v>
      </c>
    </row>
    <row r="92" customFormat="false" ht="15" hidden="false" customHeight="false" outlineLevel="0" collapsed="false">
      <c r="A92" s="7" t="s">
        <v>86</v>
      </c>
      <c r="B92" s="8" t="n">
        <v>-113389</v>
      </c>
      <c r="C92" s="8" t="n">
        <v>-50044</v>
      </c>
      <c r="D92" s="9" t="n">
        <f aca="false">B92-C92</f>
        <v>-63345</v>
      </c>
      <c r="E92" s="10" t="n">
        <f aca="false">IF(C92=0,"",D92/C92)</f>
        <v>1.26578610822476</v>
      </c>
      <c r="F92" s="10" t="n">
        <f aca="false">B92/B$101</f>
        <v>-0.00187685212294223</v>
      </c>
    </row>
    <row r="93" customFormat="false" ht="15" hidden="false" customHeight="false" outlineLevel="0" collapsed="false">
      <c r="A93" s="7" t="s">
        <v>87</v>
      </c>
      <c r="B93" s="8" t="n">
        <v>1900541</v>
      </c>
      <c r="C93" s="8" t="n">
        <v>1766110</v>
      </c>
      <c r="D93" s="9" t="n">
        <f aca="false">B93-C93</f>
        <v>134431</v>
      </c>
      <c r="E93" s="10" t="n">
        <f aca="false">IF(C93=0,"",D93/C93)</f>
        <v>0.0761170029046888</v>
      </c>
      <c r="F93" s="10" t="n">
        <f aca="false">B93/B$101</f>
        <v>0.0314583814178514</v>
      </c>
    </row>
    <row r="94" customFormat="false" ht="15" hidden="false" customHeight="false" outlineLevel="0" collapsed="false">
      <c r="A94" s="7" t="s">
        <v>88</v>
      </c>
      <c r="B94" s="8" t="n">
        <v>8214479</v>
      </c>
      <c r="C94" s="8" t="n">
        <v>9363866</v>
      </c>
      <c r="D94" s="9" t="n">
        <f aca="false">B94-C94</f>
        <v>-1149387</v>
      </c>
      <c r="E94" s="10" t="n">
        <f aca="false">IF(C94=0,"",D94/C94)</f>
        <v>-0.122747057678954</v>
      </c>
      <c r="F94" s="10" t="n">
        <f aca="false">B94/B$101</f>
        <v>0.135968765488843</v>
      </c>
    </row>
    <row r="95" customFormat="false" ht="15" hidden="false" customHeight="false" outlineLevel="0" collapsed="false">
      <c r="A95" s="7" t="s">
        <v>89</v>
      </c>
      <c r="B95" s="8" t="n">
        <v>0</v>
      </c>
      <c r="C95" s="8" t="n">
        <v>1250025</v>
      </c>
      <c r="D95" s="9" t="n">
        <f aca="false">B95-C95</f>
        <v>-1250025</v>
      </c>
      <c r="E95" s="10" t="n">
        <f aca="false">IF(C95=0,"",D95/C95)</f>
        <v>-1</v>
      </c>
      <c r="F95" s="10" t="n">
        <f aca="false">B95/B$101</f>
        <v>0</v>
      </c>
    </row>
    <row r="96" customFormat="false" ht="15" hidden="false" customHeight="false" outlineLevel="0" collapsed="false">
      <c r="A96" s="11" t="s">
        <v>90</v>
      </c>
      <c r="B96" s="12" t="n">
        <f aca="false">SUM(B89:B95)</f>
        <v>23130019</v>
      </c>
      <c r="C96" s="12" t="n">
        <f aca="false">SUM(C89:C95)</f>
        <v>25674718</v>
      </c>
      <c r="D96" s="9" t="n">
        <f aca="false">B96-C96</f>
        <v>-2544699</v>
      </c>
      <c r="E96" s="10" t="n">
        <f aca="false">IF(C96=0,"",D96/C96)</f>
        <v>-0.0991130262852352</v>
      </c>
      <c r="F96" s="10" t="n">
        <f aca="false">B96/B$101</f>
        <v>0.382855702615281</v>
      </c>
      <c r="G96" s="7" t="str">
        <f aca="false">IF(AND(B96=23130019,C96=25674718),"Confere com publicado","DIFERENÇA")</f>
        <v>Confere com publicado</v>
      </c>
    </row>
    <row r="98" customFormat="false" ht="15" hidden="false" customHeight="false" outlineLevel="0" collapsed="false">
      <c r="A98" s="7" t="s">
        <v>91</v>
      </c>
      <c r="B98" s="8" t="n">
        <v>-38041</v>
      </c>
      <c r="C98" s="8" t="n">
        <v>-37783</v>
      </c>
      <c r="D98" s="9" t="n">
        <f aca="false">B98-C98</f>
        <v>-258</v>
      </c>
      <c r="E98" s="10" t="n">
        <f aca="false">IF(C98=0,"",D98/C98)</f>
        <v>0.00682846782944711</v>
      </c>
      <c r="F98" s="10" t="n">
        <f aca="false">B98/B$101</f>
        <v>-0.000629667177670192</v>
      </c>
    </row>
    <row r="99" customFormat="false" ht="15" hidden="false" customHeight="false" outlineLevel="0" collapsed="false">
      <c r="A99" s="11" t="s">
        <v>92</v>
      </c>
      <c r="B99" s="12" t="n">
        <f aca="false">B96+B98</f>
        <v>23091978</v>
      </c>
      <c r="C99" s="12" t="n">
        <f aca="false">C96+C98</f>
        <v>25636935</v>
      </c>
      <c r="D99" s="9" t="n">
        <f aca="false">B99-C99</f>
        <v>-2544957</v>
      </c>
      <c r="E99" s="10" t="n">
        <f aca="false">IF(C99=0,"",D99/C99)</f>
        <v>-0.0992691599054255</v>
      </c>
      <c r="F99" s="10" t="n">
        <f aca="false">B99/B$101</f>
        <v>0.382226035437611</v>
      </c>
    </row>
    <row r="101" customFormat="false" ht="15" hidden="false" customHeight="false" outlineLevel="0" collapsed="false">
      <c r="A101" s="11" t="s">
        <v>93</v>
      </c>
      <c r="B101" s="12" t="n">
        <f aca="false">B68+B86+B99</f>
        <v>60414456</v>
      </c>
      <c r="C101" s="12" t="n">
        <f aca="false">C68+C86+C99</f>
        <v>57384156</v>
      </c>
      <c r="D101" s="9" t="n">
        <f aca="false">B101-C101</f>
        <v>3030300</v>
      </c>
      <c r="E101" s="10" t="n">
        <f aca="false">IF(C101=0,"",D101/C101)</f>
        <v>0.0528072592023485</v>
      </c>
      <c r="F101" s="10" t="n">
        <f aca="false">B101/B$101</f>
        <v>1</v>
      </c>
      <c r="G101" s="7" t="str">
        <f aca="false">IF(AND(B101=B48,C101=C48),"Ativo = Passivo + PL","DIFERENÇA")</f>
        <v>Ativo = Passivo + PL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6" min="5" style="0" width="11"/>
  </cols>
  <sheetData>
    <row r="1" customFormat="false" ht="16.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95</v>
      </c>
    </row>
    <row r="5" customFormat="false" ht="23.85" hidden="false" customHeight="false" outlineLevel="0" collapsed="false">
      <c r="A5" s="6" t="s">
        <v>24</v>
      </c>
      <c r="B5" s="6" t="s">
        <v>96</v>
      </c>
      <c r="C5" s="6" t="s">
        <v>97</v>
      </c>
      <c r="D5" s="6" t="s">
        <v>27</v>
      </c>
      <c r="E5" s="6" t="s">
        <v>28</v>
      </c>
      <c r="F5" s="6" t="s">
        <v>98</v>
      </c>
    </row>
    <row r="6" customFormat="false" ht="15" hidden="false" customHeight="false" outlineLevel="0" collapsed="false">
      <c r="A6" s="11" t="s">
        <v>99</v>
      </c>
      <c r="B6" s="12" t="n">
        <f aca="false">SUM(B7:B13)</f>
        <v>26116856</v>
      </c>
      <c r="C6" s="12" t="n">
        <f aca="false">SUM(C7:C13)</f>
        <v>22651036</v>
      </c>
      <c r="D6" s="9" t="n">
        <f aca="false">B6-C6</f>
        <v>3465820</v>
      </c>
      <c r="E6" s="10" t="n">
        <f aca="false">IF(C6=0,"",D6/ABS(C6))</f>
        <v>0.153009336968075</v>
      </c>
      <c r="F6" s="10" t="n">
        <f aca="false">B6/B$6</f>
        <v>1</v>
      </c>
    </row>
    <row r="7" customFormat="false" ht="15" hidden="false" customHeight="false" outlineLevel="0" collapsed="false">
      <c r="A7" s="7" t="s">
        <v>100</v>
      </c>
      <c r="B7" s="8" t="n">
        <v>7961249</v>
      </c>
      <c r="C7" s="8" t="n">
        <v>8454990</v>
      </c>
      <c r="D7" s="9" t="n">
        <f aca="false">B7-C7</f>
        <v>-493741</v>
      </c>
      <c r="E7" s="10" t="n">
        <f aca="false">IF(C7=0,"",D7/ABS(C7))</f>
        <v>-0.0583964025977559</v>
      </c>
      <c r="F7" s="10" t="n">
        <f aca="false">B7/B$6</f>
        <v>0.304831829681184</v>
      </c>
    </row>
    <row r="8" customFormat="false" ht="15" hidden="false" customHeight="false" outlineLevel="0" collapsed="false">
      <c r="A8" s="7" t="s">
        <v>101</v>
      </c>
      <c r="B8" s="8" t="n">
        <v>4756273</v>
      </c>
      <c r="C8" s="8" t="n">
        <v>3120628</v>
      </c>
      <c r="D8" s="9" t="n">
        <f aca="false">B8-C8</f>
        <v>1635645</v>
      </c>
      <c r="E8" s="10" t="n">
        <f aca="false">IF(C8=0,"",D8/ABS(C8))</f>
        <v>0.524139692395249</v>
      </c>
      <c r="F8" s="10" t="n">
        <f aca="false">B8/B$6</f>
        <v>0.182115067755476</v>
      </c>
    </row>
    <row r="9" customFormat="false" ht="15" hidden="false" customHeight="false" outlineLevel="0" collapsed="false">
      <c r="A9" s="7" t="s">
        <v>102</v>
      </c>
      <c r="B9" s="8" t="n">
        <v>6974666</v>
      </c>
      <c r="C9" s="8" t="n">
        <v>7048036</v>
      </c>
      <c r="D9" s="9" t="n">
        <f aca="false">B9-C9</f>
        <v>-73370</v>
      </c>
      <c r="E9" s="10" t="n">
        <f aca="false">IF(C9=0,"",D9/ABS(C9))</f>
        <v>-0.0104099922304597</v>
      </c>
      <c r="F9" s="10" t="n">
        <f aca="false">B9/B$6</f>
        <v>0.267056111195008</v>
      </c>
    </row>
    <row r="10" customFormat="false" ht="15" hidden="false" customHeight="false" outlineLevel="0" collapsed="false">
      <c r="A10" s="7" t="s">
        <v>103</v>
      </c>
      <c r="B10" s="8" t="n">
        <v>3303150</v>
      </c>
      <c r="C10" s="8" t="n">
        <v>2550809</v>
      </c>
      <c r="D10" s="9" t="n">
        <f aca="false">B10-C10</f>
        <v>752341</v>
      </c>
      <c r="E10" s="10" t="n">
        <f aca="false">IF(C10=0,"",D10/ABS(C10))</f>
        <v>0.294942114442908</v>
      </c>
      <c r="F10" s="10" t="n">
        <f aca="false">B10/B$6</f>
        <v>0.126475790194654</v>
      </c>
    </row>
    <row r="11" customFormat="false" ht="15" hidden="false" customHeight="false" outlineLevel="0" collapsed="false">
      <c r="A11" s="7" t="s">
        <v>104</v>
      </c>
      <c r="B11" s="8" t="n">
        <v>161244</v>
      </c>
      <c r="C11" s="8" t="n">
        <v>82424</v>
      </c>
      <c r="D11" s="9" t="n">
        <f aca="false">B11-C11</f>
        <v>78820</v>
      </c>
      <c r="E11" s="10" t="n">
        <f aca="false">IF(C11=0,"",D11/ABS(C11))</f>
        <v>0.956274871396681</v>
      </c>
      <c r="F11" s="10" t="n">
        <f aca="false">B11/B$6</f>
        <v>0.00617394375494508</v>
      </c>
    </row>
    <row r="12" customFormat="false" ht="15" hidden="false" customHeight="false" outlineLevel="0" collapsed="false">
      <c r="A12" s="7" t="s">
        <v>105</v>
      </c>
      <c r="B12" s="8" t="n">
        <v>2348143</v>
      </c>
      <c r="C12" s="8" t="n">
        <v>838280</v>
      </c>
      <c r="D12" s="9" t="n">
        <f aca="false">B12-C12</f>
        <v>1509863</v>
      </c>
      <c r="E12" s="10" t="n">
        <f aca="false">IF(C12=0,"",D12/ABS(C12))</f>
        <v>1.80114400916162</v>
      </c>
      <c r="F12" s="10" t="n">
        <f aca="false">B12/B$6</f>
        <v>0.089909099318846</v>
      </c>
    </row>
    <row r="13" customFormat="false" ht="15" hidden="false" customHeight="false" outlineLevel="0" collapsed="false">
      <c r="A13" s="7" t="s">
        <v>106</v>
      </c>
      <c r="B13" s="8" t="n">
        <v>612131</v>
      </c>
      <c r="C13" s="8" t="n">
        <v>555869</v>
      </c>
      <c r="D13" s="9" t="n">
        <f aca="false">B13-C13</f>
        <v>56262</v>
      </c>
      <c r="E13" s="10" t="n">
        <f aca="false">IF(C13=0,"",D13/ABS(C13))</f>
        <v>0.101214494782044</v>
      </c>
      <c r="F13" s="10" t="n">
        <f aca="false">B13/B$6</f>
        <v>0.0234381580998877</v>
      </c>
    </row>
    <row r="14" customFormat="false" ht="15" hidden="false" customHeight="false" outlineLevel="0" collapsed="false">
      <c r="A14" s="11" t="s">
        <v>107</v>
      </c>
      <c r="B14" s="12" t="n">
        <f aca="false">SUM(B15:B24)</f>
        <v>-21311842</v>
      </c>
      <c r="C14" s="12" t="n">
        <f aca="false">SUM(C15:C24)</f>
        <v>-18867990</v>
      </c>
      <c r="D14" s="9" t="n">
        <f aca="false">B14-C14</f>
        <v>-2443852</v>
      </c>
      <c r="E14" s="10" t="n">
        <f aca="false">IF(C14=0,"",D14/ABS(C14))</f>
        <v>-0.129523706552738</v>
      </c>
      <c r="F14" s="10" t="n">
        <f aca="false">B14/B$6</f>
        <v>-0.816018666259063</v>
      </c>
    </row>
    <row r="15" customFormat="false" ht="15" hidden="false" customHeight="false" outlineLevel="0" collapsed="false">
      <c r="A15" s="7" t="s">
        <v>108</v>
      </c>
      <c r="B15" s="8" t="n">
        <v>-11110778</v>
      </c>
      <c r="C15" s="8" t="n">
        <v>-8924895</v>
      </c>
      <c r="D15" s="9" t="n">
        <f aca="false">B15-C15</f>
        <v>-2185883</v>
      </c>
      <c r="E15" s="10" t="n">
        <f aca="false">IF(C15=0,"",D15/ABS(C15))</f>
        <v>-0.244919744153853</v>
      </c>
      <c r="F15" s="10" t="n">
        <f aca="false">B15/B$6</f>
        <v>-0.425425556583074</v>
      </c>
    </row>
    <row r="16" customFormat="false" ht="15" hidden="false" customHeight="false" outlineLevel="0" collapsed="false">
      <c r="A16" s="7" t="s">
        <v>109</v>
      </c>
      <c r="B16" s="8" t="n">
        <v>-2755534</v>
      </c>
      <c r="C16" s="8" t="n">
        <v>-2865490</v>
      </c>
      <c r="D16" s="9" t="n">
        <f aca="false">B16-C16</f>
        <v>109956</v>
      </c>
      <c r="E16" s="10" t="n">
        <f aca="false">IF(C16=0,"",D16/ABS(C16))</f>
        <v>0.0383724947565687</v>
      </c>
      <c r="F16" s="10" t="n">
        <f aca="false">B16/B$6</f>
        <v>-0.10550787583314</v>
      </c>
    </row>
    <row r="17" customFormat="false" ht="15" hidden="false" customHeight="false" outlineLevel="0" collapsed="false">
      <c r="A17" s="7" t="s">
        <v>110</v>
      </c>
      <c r="B17" s="8" t="n">
        <v>-960788</v>
      </c>
      <c r="C17" s="8" t="n">
        <v>-1081797</v>
      </c>
      <c r="D17" s="9" t="n">
        <f aca="false">B17-C17</f>
        <v>121009</v>
      </c>
      <c r="E17" s="10" t="n">
        <f aca="false">IF(C17=0,"",D17/ABS(C17))</f>
        <v>0.111859249008825</v>
      </c>
      <c r="F17" s="10" t="n">
        <f aca="false">B17/B$6</f>
        <v>-0.0367880421747549</v>
      </c>
    </row>
    <row r="18" customFormat="false" ht="15" hidden="false" customHeight="false" outlineLevel="0" collapsed="false">
      <c r="A18" s="7" t="s">
        <v>111</v>
      </c>
      <c r="B18" s="8" t="n">
        <v>-234547</v>
      </c>
      <c r="C18" s="8" t="n">
        <v>-259352</v>
      </c>
      <c r="D18" s="9" t="n">
        <f aca="false">B18-C18</f>
        <v>24805</v>
      </c>
      <c r="E18" s="10" t="n">
        <f aca="false">IF(C18=0,"",D18/ABS(C18))</f>
        <v>0.0956422159844536</v>
      </c>
      <c r="F18" s="10" t="n">
        <f aca="false">B18/B$6</f>
        <v>-0.0089806751624315</v>
      </c>
    </row>
    <row r="19" customFormat="false" ht="15" hidden="false" customHeight="false" outlineLevel="0" collapsed="false">
      <c r="A19" s="7" t="s">
        <v>112</v>
      </c>
      <c r="B19" s="8" t="n">
        <v>-108061</v>
      </c>
      <c r="C19" s="8" t="n">
        <v>-86882</v>
      </c>
      <c r="D19" s="9" t="n">
        <f aca="false">B19-C19</f>
        <v>-21179</v>
      </c>
      <c r="E19" s="10" t="n">
        <f aca="false">IF(C19=0,"",D19/ABS(C19))</f>
        <v>-0.24376740866923</v>
      </c>
      <c r="F19" s="10" t="n">
        <f aca="false">B19/B$6</f>
        <v>-0.00413759604142244</v>
      </c>
    </row>
    <row r="20" customFormat="false" ht="15" hidden="false" customHeight="false" outlineLevel="0" collapsed="false">
      <c r="A20" s="7" t="s">
        <v>113</v>
      </c>
      <c r="B20" s="8" t="n">
        <v>-1192282</v>
      </c>
      <c r="C20" s="8" t="n">
        <v>-1074308</v>
      </c>
      <c r="D20" s="9" t="n">
        <f aca="false">B20-C20</f>
        <v>-117974</v>
      </c>
      <c r="E20" s="10" t="n">
        <f aca="false">IF(C20=0,"",D20/ABS(C20))</f>
        <v>-0.109813945349006</v>
      </c>
      <c r="F20" s="10" t="n">
        <f aca="false">B20/B$6</f>
        <v>-0.0456518196524115</v>
      </c>
    </row>
    <row r="21" customFormat="false" ht="15" hidden="false" customHeight="false" outlineLevel="0" collapsed="false">
      <c r="A21" s="7" t="s">
        <v>114</v>
      </c>
      <c r="B21" s="8" t="n">
        <v>-1481886</v>
      </c>
      <c r="C21" s="8" t="n">
        <v>-1465478</v>
      </c>
      <c r="D21" s="9" t="n">
        <f aca="false">B21-C21</f>
        <v>-16408</v>
      </c>
      <c r="E21" s="10" t="n">
        <f aca="false">IF(C21=0,"",D21/ABS(C21))</f>
        <v>-0.0111963468574759</v>
      </c>
      <c r="F21" s="10" t="n">
        <f aca="false">B21/B$6</f>
        <v>-0.0567405969539366</v>
      </c>
    </row>
    <row r="22" customFormat="false" ht="15" hidden="false" customHeight="false" outlineLevel="0" collapsed="false">
      <c r="A22" s="7" t="s">
        <v>115</v>
      </c>
      <c r="B22" s="8" t="n">
        <v>-270787</v>
      </c>
      <c r="C22" s="8" t="n">
        <v>-345102</v>
      </c>
      <c r="D22" s="9" t="n">
        <f aca="false">B22-C22</f>
        <v>74315</v>
      </c>
      <c r="E22" s="10" t="n">
        <f aca="false">IF(C22=0,"",D22/ABS(C22))</f>
        <v>0.215342130732363</v>
      </c>
      <c r="F22" s="10" t="n">
        <f aca="false">B22/B$6</f>
        <v>-0.0103682847583185</v>
      </c>
    </row>
    <row r="23" customFormat="false" ht="15" hidden="false" customHeight="false" outlineLevel="0" collapsed="false">
      <c r="A23" s="7" t="s">
        <v>116</v>
      </c>
      <c r="B23" s="8" t="n">
        <v>-3272763</v>
      </c>
      <c r="C23" s="8" t="n">
        <v>-2522908</v>
      </c>
      <c r="D23" s="9" t="n">
        <f aca="false">B23-C23</f>
        <v>-749855</v>
      </c>
      <c r="E23" s="10" t="n">
        <f aca="false">IF(C23=0,"",D23/ABS(C23))</f>
        <v>-0.297218527191638</v>
      </c>
      <c r="F23" s="10" t="n">
        <f aca="false">B23/B$6</f>
        <v>-0.125312288737971</v>
      </c>
    </row>
    <row r="24" customFormat="false" ht="15" hidden="false" customHeight="false" outlineLevel="0" collapsed="false">
      <c r="A24" s="7" t="s">
        <v>117</v>
      </c>
      <c r="B24" s="8" t="n">
        <v>75584</v>
      </c>
      <c r="C24" s="8" t="n">
        <v>-241778</v>
      </c>
      <c r="D24" s="9" t="n">
        <f aca="false">B24-C24</f>
        <v>317362</v>
      </c>
      <c r="E24" s="10" t="n">
        <f aca="false">IF(C24=0,"",D24/ABS(C24))</f>
        <v>1.31261735972669</v>
      </c>
      <c r="F24" s="10" t="n">
        <f aca="false">B24/B$6</f>
        <v>0.00289406963839752</v>
      </c>
    </row>
    <row r="25" customFormat="false" ht="15" hidden="false" customHeight="false" outlineLevel="0" collapsed="false">
      <c r="A25" s="11" t="s">
        <v>118</v>
      </c>
      <c r="B25" s="8" t="n">
        <v>239997</v>
      </c>
      <c r="C25" s="8" t="n">
        <v>281202</v>
      </c>
      <c r="D25" s="9" t="n">
        <f aca="false">B25-C25</f>
        <v>-41205</v>
      </c>
      <c r="E25" s="10" t="n">
        <f aca="false">IF(C25=0,"",D25/ABS(C25))</f>
        <v>-0.146531674739156</v>
      </c>
      <c r="F25" s="10" t="n">
        <f aca="false">B25/B$6</f>
        <v>0.00918935265408669</v>
      </c>
    </row>
    <row r="26" customFormat="false" ht="15" hidden="false" customHeight="false" outlineLevel="0" collapsed="false">
      <c r="A26" s="11" t="s">
        <v>119</v>
      </c>
      <c r="B26" s="12" t="n">
        <f aca="false">B6+B14+B25</f>
        <v>5045011</v>
      </c>
      <c r="C26" s="12" t="n">
        <f aca="false">C6+C14+C25</f>
        <v>4064248</v>
      </c>
      <c r="D26" s="9" t="n">
        <f aca="false">B26-C26</f>
        <v>980763</v>
      </c>
      <c r="E26" s="10" t="n">
        <f aca="false">IF(C26=0,"",D26/ABS(C26))</f>
        <v>0.241314752446209</v>
      </c>
      <c r="F26" s="10" t="n">
        <f aca="false">B26/B$6</f>
        <v>0.193170686395024</v>
      </c>
    </row>
    <row r="27" customFormat="false" ht="15" hidden="false" customHeight="false" outlineLevel="0" collapsed="false">
      <c r="A27" s="11" t="s">
        <v>120</v>
      </c>
      <c r="B27" s="12" t="n">
        <f aca="false">B28+B29</f>
        <v>-1798352</v>
      </c>
      <c r="C27" s="12" t="n">
        <f aca="false">C28+C29</f>
        <v>-1157014</v>
      </c>
      <c r="D27" s="9" t="n">
        <f aca="false">B27-C27</f>
        <v>-641338</v>
      </c>
      <c r="E27" s="10" t="n">
        <f aca="false">IF(C27=0,"",D27/ABS(C27))</f>
        <v>-0.554304442297155</v>
      </c>
      <c r="F27" s="10" t="n">
        <f aca="false">B27/B$6</f>
        <v>-0.0688579054079097</v>
      </c>
    </row>
    <row r="28" customFormat="false" ht="15" hidden="false" customHeight="false" outlineLevel="0" collapsed="false">
      <c r="A28" s="7" t="s">
        <v>121</v>
      </c>
      <c r="B28" s="8" t="n">
        <v>1343658</v>
      </c>
      <c r="C28" s="8" t="n">
        <v>1184779</v>
      </c>
      <c r="D28" s="9" t="n">
        <f aca="false">B28-C28</f>
        <v>158879</v>
      </c>
      <c r="E28" s="10" t="n">
        <f aca="false">IF(C28=0,"",D28/ABS(C28))</f>
        <v>0.134100114873744</v>
      </c>
      <c r="F28" s="10" t="n">
        <f aca="false">B28/B$6</f>
        <v>0.0514479231343926</v>
      </c>
    </row>
    <row r="29" customFormat="false" ht="15" hidden="false" customHeight="false" outlineLevel="0" collapsed="false">
      <c r="A29" s="7" t="s">
        <v>122</v>
      </c>
      <c r="B29" s="8" t="n">
        <v>-3142010</v>
      </c>
      <c r="C29" s="8" t="n">
        <v>-2341793</v>
      </c>
      <c r="D29" s="9" t="n">
        <f aca="false">B29-C29</f>
        <v>-800217</v>
      </c>
      <c r="E29" s="10" t="n">
        <f aca="false">IF(C29=0,"",D29/ABS(C29))</f>
        <v>-0.341711244332868</v>
      </c>
      <c r="F29" s="10" t="n">
        <f aca="false">B29/B$6</f>
        <v>-0.120305828542302</v>
      </c>
    </row>
    <row r="30" customFormat="false" ht="15" hidden="false" customHeight="false" outlineLevel="0" collapsed="false">
      <c r="A30" s="11" t="s">
        <v>123</v>
      </c>
      <c r="B30" s="12" t="n">
        <f aca="false">B26+B27</f>
        <v>3246659</v>
      </c>
      <c r="C30" s="12" t="n">
        <f aca="false">C26+C27</f>
        <v>2907234</v>
      </c>
      <c r="D30" s="9" t="n">
        <f aca="false">B30-C30</f>
        <v>339425</v>
      </c>
      <c r="E30" s="10" t="n">
        <f aca="false">IF(C30=0,"",D30/ABS(C30))</f>
        <v>0.116751867926696</v>
      </c>
      <c r="F30" s="10" t="n">
        <f aca="false">B30/B$6</f>
        <v>0.124312780987114</v>
      </c>
    </row>
    <row r="31" customFormat="false" ht="15" hidden="false" customHeight="false" outlineLevel="0" collapsed="false">
      <c r="A31" s="11" t="s">
        <v>124</v>
      </c>
      <c r="B31" s="8" t="n">
        <v>-577618</v>
      </c>
      <c r="C31" s="8" t="n">
        <v>-599435</v>
      </c>
      <c r="D31" s="9" t="n">
        <f aca="false">B31-C31</f>
        <v>21817</v>
      </c>
      <c r="E31" s="10" t="n">
        <f aca="false">IF(C31=0,"",D31/ABS(C31))</f>
        <v>0.036395939509705</v>
      </c>
      <c r="F31" s="10" t="n">
        <f aca="false">B31/B$6</f>
        <v>-0.0221166743807141</v>
      </c>
    </row>
    <row r="32" customFormat="false" ht="15" hidden="false" customHeight="false" outlineLevel="0" collapsed="false">
      <c r="A32" s="11" t="s">
        <v>125</v>
      </c>
      <c r="B32" s="12" t="n">
        <f aca="false">B30+B31</f>
        <v>2669041</v>
      </c>
      <c r="C32" s="12" t="n">
        <f aca="false">C30+C31</f>
        <v>2307799</v>
      </c>
      <c r="D32" s="9" t="n">
        <f aca="false">B32-C32</f>
        <v>361242</v>
      </c>
      <c r="E32" s="10" t="n">
        <f aca="false">IF(C32=0,"",D32/ABS(C32))</f>
        <v>0.156530963051808</v>
      </c>
      <c r="F32" s="10" t="n">
        <f aca="false">B32/B$6</f>
        <v>0.1021961066064</v>
      </c>
    </row>
    <row r="33" customFormat="false" ht="15" hidden="false" customHeight="false" outlineLevel="0" collapsed="false">
      <c r="A33" s="11" t="s">
        <v>126</v>
      </c>
      <c r="B33" s="8" t="n">
        <v>18898</v>
      </c>
      <c r="C33" s="8" t="n">
        <v>491571</v>
      </c>
      <c r="D33" s="9" t="n">
        <f aca="false">B33-C33</f>
        <v>-472673</v>
      </c>
      <c r="E33" s="10" t="n">
        <f aca="false">IF(C33=0,"",D33/ABS(C33))</f>
        <v>-0.961555909522734</v>
      </c>
      <c r="F33" s="10" t="n">
        <f aca="false">B33/B$6</f>
        <v>0.000723593988495399</v>
      </c>
    </row>
    <row r="34" customFormat="false" ht="15" hidden="false" customHeight="false" outlineLevel="0" collapsed="false">
      <c r="A34" s="11" t="s">
        <v>127</v>
      </c>
      <c r="B34" s="12" t="n">
        <f aca="false">B32+B33</f>
        <v>2687939</v>
      </c>
      <c r="C34" s="12" t="n">
        <f aca="false">C32+C33</f>
        <v>2799370</v>
      </c>
      <c r="D34" s="9" t="n">
        <f aca="false">B34-C34</f>
        <v>-111431</v>
      </c>
      <c r="E34" s="10" t="n">
        <f aca="false">IF(C34=0,"",D34/ABS(C34))</f>
        <v>-0.0398057420062371</v>
      </c>
      <c r="F34" s="10" t="n">
        <f aca="false">B34/B$6</f>
        <v>0.102919700594896</v>
      </c>
    </row>
    <row r="36" customFormat="false" ht="15" hidden="false" customHeight="false" outlineLevel="0" collapsed="false">
      <c r="A36" s="11" t="s">
        <v>128</v>
      </c>
      <c r="B36" s="7" t="str">
        <f aca="false">IF(B32=2669041,"Confere","DIFERENÇA")</f>
        <v>Confere</v>
      </c>
      <c r="C36" s="7" t="str">
        <f aca="false">IF(C32=2307799,"Confere","DIFERENÇA")</f>
        <v>Confere</v>
      </c>
    </row>
    <row r="37" customFormat="false" ht="15" hidden="false" customHeight="false" outlineLevel="0" collapsed="false">
      <c r="A37" s="7" t="s">
        <v>129</v>
      </c>
      <c r="B37" s="8" t="n">
        <v>6526897</v>
      </c>
      <c r="C37" s="8" t="n">
        <v>5529726</v>
      </c>
    </row>
    <row r="38" customFormat="false" ht="15" hidden="false" customHeight="false" outlineLevel="0" collapsed="false">
      <c r="A38" s="7" t="s">
        <v>130</v>
      </c>
      <c r="B38" s="9" t="n">
        <f aca="false">B26-B21</f>
        <v>6526897</v>
      </c>
      <c r="C38" s="9" t="n">
        <f aca="false">C26-C21</f>
        <v>5529726</v>
      </c>
    </row>
    <row r="39" customFormat="false" ht="15" hidden="false" customHeight="false" outlineLevel="0" collapsed="false">
      <c r="A39" s="7" t="s">
        <v>131</v>
      </c>
      <c r="B39" s="9" t="n">
        <f aca="false">B37-B38</f>
        <v>0</v>
      </c>
      <c r="C39" s="9" t="n">
        <f aca="false">C37-C38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133</v>
      </c>
      <c r="B4" s="6" t="s">
        <v>96</v>
      </c>
      <c r="C4" s="6" t="s">
        <v>97</v>
      </c>
      <c r="D4" s="6" t="s">
        <v>134</v>
      </c>
    </row>
    <row r="5" customFormat="false" ht="15" hidden="false" customHeight="false" outlineLevel="0" collapsed="false">
      <c r="A5" s="7" t="s">
        <v>135</v>
      </c>
      <c r="B5" s="13" t="n">
        <f aca="false">BP!B23/BP!B68</f>
        <v>0.983668611196009</v>
      </c>
      <c r="C5" s="13" t="n">
        <f aca="false">BP!C23/BP!C68</f>
        <v>1.26100646079529</v>
      </c>
      <c r="D5" s="7" t="s">
        <v>136</v>
      </c>
    </row>
    <row r="6" customFormat="false" ht="15" hidden="false" customHeight="false" outlineLevel="0" collapsed="false">
      <c r="A6" s="7" t="s">
        <v>137</v>
      </c>
      <c r="B6" s="14" t="n">
        <f aca="false">BP!B55+BP!B56+BP!B75+BP!B76</f>
        <v>20015343</v>
      </c>
      <c r="C6" s="14" t="n">
        <f aca="false">BP!C55+BP!C56+BP!C75+BP!C76</f>
        <v>17246159</v>
      </c>
      <c r="D6" s="7" t="s">
        <v>138</v>
      </c>
    </row>
    <row r="7" customFormat="false" ht="15" hidden="false" customHeight="false" outlineLevel="0" collapsed="false">
      <c r="A7" s="7" t="s">
        <v>139</v>
      </c>
      <c r="B7" s="13" t="n">
        <f aca="false">B6/BP!B99</f>
        <v>0.866766069151807</v>
      </c>
      <c r="C7" s="13" t="n">
        <f aca="false">C6/BP!C99</f>
        <v>0.672707521394426</v>
      </c>
      <c r="D7" s="7"/>
    </row>
    <row r="8" customFormat="false" ht="15" hidden="false" customHeight="false" outlineLevel="0" collapsed="false">
      <c r="A8" s="7" t="s">
        <v>140</v>
      </c>
      <c r="B8" s="15" t="n">
        <f aca="false">DRE!B37/DRE!B6</f>
        <v>0.249911283348961</v>
      </c>
      <c r="C8" s="15" t="n">
        <f aca="false">DRE!C37/DRE!C6</f>
        <v>0.244126847001612</v>
      </c>
      <c r="D8" s="7" t="s">
        <v>141</v>
      </c>
    </row>
    <row r="9" customFormat="false" ht="15" hidden="false" customHeight="false" outlineLevel="0" collapsed="false">
      <c r="A9" s="7" t="s">
        <v>142</v>
      </c>
      <c r="B9" s="15" t="n">
        <f aca="false">DRE!B32/DRE!B6</f>
        <v>0.1021961066064</v>
      </c>
      <c r="C9" s="15" t="n">
        <f aca="false">DRE!C32/DRE!C6</f>
        <v>0.101884920407173</v>
      </c>
      <c r="D9" s="7"/>
    </row>
    <row r="10" customFormat="false" ht="15" hidden="false" customHeight="false" outlineLevel="0" collapsed="false">
      <c r="A10" s="7" t="s">
        <v>143</v>
      </c>
      <c r="B10" s="15" t="n">
        <f aca="false">DRE!B32/BP!B99</f>
        <v>0.115583039270174</v>
      </c>
      <c r="C10" s="15" t="n">
        <f aca="false">DRE!C32/BP!C99</f>
        <v>0.090018522104924</v>
      </c>
      <c r="D10" s="7" t="s">
        <v>144</v>
      </c>
    </row>
    <row r="11" customFormat="false" ht="15" hidden="false" customHeight="false" outlineLevel="0" collapsed="false">
      <c r="A11" s="7" t="s">
        <v>145</v>
      </c>
      <c r="B11" s="16" t="n">
        <f aca="false">(BP!B10+BP!B28)/DRE!B6*365</f>
        <v>62.375359805943</v>
      </c>
      <c r="C11" s="16" t="n">
        <f aca="false">(BP!C10+BP!C28)/DRE!C6*365</f>
        <v>65.7273216995461</v>
      </c>
      <c r="D11" s="7" t="s">
        <v>146</v>
      </c>
    </row>
    <row r="12" customFormat="false" ht="15" hidden="false" customHeight="false" outlineLevel="0" collapsed="false">
      <c r="A12" s="7" t="s">
        <v>147</v>
      </c>
      <c r="B12" s="15" t="n">
        <f aca="false">BP!B44/BP!B48</f>
        <v>0.317914126380613</v>
      </c>
      <c r="C12" s="15" t="n">
        <f aca="false">BP!C44/BP!C48</f>
        <v>0.289689892798981</v>
      </c>
      <c r="D12" s="7" t="s">
        <v>148</v>
      </c>
    </row>
    <row r="13" customFormat="false" ht="15" hidden="false" customHeight="false" outlineLevel="0" collapsed="false">
      <c r="A13" s="7" t="s">
        <v>149</v>
      </c>
      <c r="B13" s="15" t="n">
        <f aca="false">-DRE!B21/(BP!C43+BP!C44)</f>
        <v>0.058944626252973</v>
      </c>
      <c r="D13" s="7" t="s">
        <v>150</v>
      </c>
    </row>
    <row r="14" customFormat="false" ht="15" hidden="false" customHeight="false" outlineLevel="0" collapsed="false">
      <c r="A14" s="7" t="s">
        <v>151</v>
      </c>
      <c r="B14" s="15" t="n">
        <f aca="false">(BP!B85/BP!C85)-1</f>
        <v>1.02156170821243</v>
      </c>
      <c r="D14" s="7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154</v>
      </c>
      <c r="B4" s="6" t="s">
        <v>155</v>
      </c>
      <c r="C4" s="6" t="s">
        <v>156</v>
      </c>
      <c r="D4" s="6" t="s">
        <v>157</v>
      </c>
      <c r="E4" s="6" t="s">
        <v>158</v>
      </c>
    </row>
    <row r="5" customFormat="false" ht="15" hidden="false" customHeight="false" outlineLevel="0" collapsed="false">
      <c r="A5" s="7" t="s">
        <v>159</v>
      </c>
      <c r="B5" s="14" t="n">
        <f aca="false">DRE!B30</f>
        <v>3246659</v>
      </c>
      <c r="C5" s="17" t="n">
        <v>0.05</v>
      </c>
      <c r="D5" s="9" t="n">
        <f aca="false">B5*C5</f>
        <v>162332.95</v>
      </c>
      <c r="E5" s="7" t="s">
        <v>160</v>
      </c>
    </row>
    <row r="6" customFormat="false" ht="15" hidden="false" customHeight="false" outlineLevel="0" collapsed="false">
      <c r="A6" s="7" t="s">
        <v>99</v>
      </c>
      <c r="B6" s="14" t="n">
        <f aca="false">DRE!B6</f>
        <v>26116856</v>
      </c>
      <c r="C6" s="17" t="n">
        <v>0.005</v>
      </c>
      <c r="D6" s="9" t="n">
        <f aca="false">B6*C6</f>
        <v>130584.28</v>
      </c>
      <c r="E6" s="7" t="s">
        <v>161</v>
      </c>
    </row>
    <row r="7" customFormat="false" ht="15" hidden="false" customHeight="false" outlineLevel="0" collapsed="false">
      <c r="A7" s="7" t="s">
        <v>162</v>
      </c>
      <c r="B7" s="14" t="n">
        <f aca="false">BP!B99</f>
        <v>23091978</v>
      </c>
      <c r="C7" s="17" t="n">
        <v>0.01</v>
      </c>
      <c r="D7" s="9" t="n">
        <f aca="false">B7*C7</f>
        <v>230919.78</v>
      </c>
      <c r="E7" s="7" t="s">
        <v>163</v>
      </c>
    </row>
    <row r="8" customFormat="false" ht="15" hidden="false" customHeight="false" outlineLevel="0" collapsed="false">
      <c r="A8" s="7" t="s">
        <v>164</v>
      </c>
      <c r="B8" s="14" t="n">
        <f aca="false">BP!B48</f>
        <v>60414456</v>
      </c>
      <c r="C8" s="17" t="n">
        <v>0.005</v>
      </c>
      <c r="D8" s="9" t="n">
        <f aca="false">B8*C8</f>
        <v>302072.28</v>
      </c>
      <c r="E8" s="7" t="s">
        <v>165</v>
      </c>
    </row>
    <row r="9" customFormat="false" ht="15" hidden="false" customHeight="false" outlineLevel="0" collapsed="false">
      <c r="A9" s="7" t="s">
        <v>166</v>
      </c>
      <c r="B9" s="14" t="n">
        <f aca="false">DRE!B37</f>
        <v>6526897</v>
      </c>
      <c r="C9" s="17" t="n">
        <v>0.03</v>
      </c>
      <c r="D9" s="9" t="n">
        <f aca="false">B9*C9</f>
        <v>195806.91</v>
      </c>
      <c r="E9" s="7" t="s">
        <v>167</v>
      </c>
    </row>
    <row r="12" customFormat="false" ht="15" hidden="false" customHeight="false" outlineLevel="0" collapsed="false">
      <c r="A12" s="11" t="s">
        <v>168</v>
      </c>
      <c r="B12" s="12" t="n">
        <f aca="false">ROUND(D5,0)</f>
        <v>162333</v>
      </c>
    </row>
    <row r="13" customFormat="false" ht="15" hidden="false" customHeight="false" outlineLevel="0" collapsed="false">
      <c r="A13" s="7" t="s">
        <v>169</v>
      </c>
      <c r="B13" s="17" t="n">
        <v>0.7</v>
      </c>
    </row>
    <row r="14" customFormat="false" ht="15" hidden="false" customHeight="false" outlineLevel="0" collapsed="false">
      <c r="A14" s="11" t="s">
        <v>170</v>
      </c>
      <c r="B14" s="12" t="n">
        <f aca="false">ROUND(B12*B13,0)</f>
        <v>113633</v>
      </c>
    </row>
    <row r="15" customFormat="false" ht="15" hidden="false" customHeight="false" outlineLevel="0" collapsed="false">
      <c r="A15" s="7" t="s">
        <v>171</v>
      </c>
      <c r="B15" s="17" t="n">
        <v>0.05</v>
      </c>
    </row>
    <row r="16" customFormat="false" ht="15" hidden="false" customHeight="false" outlineLevel="0" collapsed="false">
      <c r="A16" s="11" t="s">
        <v>172</v>
      </c>
      <c r="B16" s="12" t="n">
        <f aca="false">ROUND(B12*B15,0)</f>
        <v>8117</v>
      </c>
    </row>
    <row r="17" customFormat="false" ht="15" hidden="false" customHeight="false" outlineLevel="0" collapsed="false">
      <c r="A17" s="7" t="s">
        <v>173</v>
      </c>
      <c r="B17" s="10" t="n">
        <f aca="false">B12/DRE!B32</f>
        <v>0.060820721749872</v>
      </c>
    </row>
    <row r="18" customFormat="false" ht="15" hidden="false" customHeight="false" outlineLevel="0" collapsed="false">
      <c r="A18" s="7" t="s">
        <v>174</v>
      </c>
      <c r="B18" s="10" t="n">
        <f aca="false">B12/BP!B48</f>
        <v>0.00268698935234971</v>
      </c>
    </row>
    <row r="20" customFormat="false" ht="15" hidden="false" customHeight="false" outlineLevel="0" collapsed="false">
      <c r="A20" s="7" t="s">
        <v>175</v>
      </c>
    </row>
    <row r="21" customFormat="false" ht="15" hidden="false" customHeight="false" outlineLevel="0" collapsed="false">
      <c r="A21" s="11" t="s">
        <v>176</v>
      </c>
      <c r="B21" s="8" t="n">
        <v>162333</v>
      </c>
      <c r="C21" s="8" t="n">
        <v>113633</v>
      </c>
      <c r="D21" s="8" t="n">
        <v>8117</v>
      </c>
      <c r="E21" s="7" t="str">
        <f aca="false">IF(AND(B21=B12,C21=B14,D21=B16),"Planilha = código","DIVERGÊNCIA")</f>
        <v>Planilha = código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178</v>
      </c>
      <c r="D4" s="6" t="s">
        <v>179</v>
      </c>
      <c r="E4" s="6" t="s">
        <v>180</v>
      </c>
    </row>
    <row r="5" customFormat="false" ht="15" hidden="false" customHeight="false" outlineLevel="0" collapsed="false">
      <c r="A5" s="7" t="s">
        <v>32</v>
      </c>
      <c r="B5" s="14" t="n">
        <f aca="false">BP!B7</f>
        <v>3130363</v>
      </c>
      <c r="C5" s="14" t="n">
        <f aca="false">ABS(BP!B7-BP!C7)</f>
        <v>1031576</v>
      </c>
      <c r="D5" s="7" t="str">
        <f aca="false">IF(OR(ABS(B5)&gt;=Materialidade!$B$14,C5&gt;=Materialidade!$B$14),"Significativa (&gt;= ME)","Abaixo da ME")</f>
        <v>Significativa (&gt;= ME)</v>
      </c>
      <c r="E5" s="7" t="s">
        <v>31</v>
      </c>
    </row>
    <row r="6" customFormat="false" ht="15" hidden="false" customHeight="false" outlineLevel="0" collapsed="false">
      <c r="A6" s="7" t="s">
        <v>33</v>
      </c>
      <c r="B6" s="14" t="n">
        <f aca="false">BP!B8</f>
        <v>895</v>
      </c>
      <c r="C6" s="14" t="n">
        <f aca="false">ABS(BP!B8-BP!C8)</f>
        <v>272</v>
      </c>
      <c r="D6" s="7" t="str">
        <f aca="false">IF(OR(ABS(B6)&gt;=Materialidade!$B$14,C6&gt;=Materialidade!$B$14),"Significativa (&gt;= ME)","Abaixo da ME")</f>
        <v>Abaixo da ME</v>
      </c>
      <c r="E6" s="7" t="s">
        <v>31</v>
      </c>
    </row>
    <row r="7" customFormat="false" ht="15" hidden="false" customHeight="false" outlineLevel="0" collapsed="false">
      <c r="A7" s="7" t="s">
        <v>34</v>
      </c>
      <c r="B7" s="14" t="n">
        <f aca="false">BP!B9</f>
        <v>9</v>
      </c>
      <c r="C7" s="14" t="n">
        <f aca="false">ABS(BP!B9-BP!C9)</f>
        <v>0</v>
      </c>
      <c r="D7" s="7" t="str">
        <f aca="false">IF(OR(ABS(B7)&gt;=Materialidade!$B$14,C7&gt;=Materialidade!$B$14),"Significativa (&gt;= ME)","Abaixo da ME")</f>
        <v>Abaixo da ME</v>
      </c>
      <c r="E7" s="7" t="s">
        <v>31</v>
      </c>
    </row>
    <row r="8" customFormat="false" ht="15" hidden="false" customHeight="false" outlineLevel="0" collapsed="false">
      <c r="A8" s="7" t="s">
        <v>35</v>
      </c>
      <c r="B8" s="14" t="n">
        <f aca="false">BP!B10</f>
        <v>4300957</v>
      </c>
      <c r="C8" s="14" t="n">
        <f aca="false">ABS(BP!B10-BP!C10)</f>
        <v>338255</v>
      </c>
      <c r="D8" s="7" t="str">
        <f aca="false">IF(OR(ABS(B8)&gt;=Materialidade!$B$14,C8&gt;=Materialidade!$B$14),"Significativa (&gt;= ME)","Abaixo da ME")</f>
        <v>Significativa (&gt;= ME)</v>
      </c>
      <c r="E8" s="7" t="s">
        <v>31</v>
      </c>
    </row>
    <row r="9" customFormat="false" ht="15" hidden="false" customHeight="false" outlineLevel="0" collapsed="false">
      <c r="A9" s="7" t="s">
        <v>36</v>
      </c>
      <c r="B9" s="14" t="n">
        <f aca="false">BP!B11</f>
        <v>141297</v>
      </c>
      <c r="C9" s="14" t="n">
        <f aca="false">ABS(BP!B11-BP!C11)</f>
        <v>59019</v>
      </c>
      <c r="D9" s="7" t="str">
        <f aca="false">IF(OR(ABS(B9)&gt;=Materialidade!$B$14,C9&gt;=Materialidade!$B$14),"Significativa (&gt;= ME)","Abaixo da ME")</f>
        <v>Significativa (&gt;= ME)</v>
      </c>
      <c r="E9" s="7" t="s">
        <v>31</v>
      </c>
    </row>
    <row r="10" customFormat="false" ht="15" hidden="false" customHeight="false" outlineLevel="0" collapsed="false">
      <c r="A10" s="7" t="s">
        <v>37</v>
      </c>
      <c r="B10" s="14" t="n">
        <f aca="false">BP!B12</f>
        <v>400463</v>
      </c>
      <c r="C10" s="14" t="n">
        <f aca="false">ABS(BP!B12-BP!C12)</f>
        <v>400463</v>
      </c>
      <c r="D10" s="7" t="str">
        <f aca="false">IF(OR(ABS(B10)&gt;=Materialidade!$B$14,C10&gt;=Materialidade!$B$14),"Significativa (&gt;= ME)","Abaixo da ME")</f>
        <v>Significativa (&gt;= ME)</v>
      </c>
      <c r="E10" s="7" t="s">
        <v>31</v>
      </c>
    </row>
    <row r="11" customFormat="false" ht="15" hidden="false" customHeight="false" outlineLevel="0" collapsed="false">
      <c r="A11" s="7" t="s">
        <v>38</v>
      </c>
      <c r="B11" s="14" t="n">
        <f aca="false">BP!B13</f>
        <v>12867</v>
      </c>
      <c r="C11" s="14" t="n">
        <f aca="false">ABS(BP!B13-BP!C13)</f>
        <v>2258</v>
      </c>
      <c r="D11" s="7" t="str">
        <f aca="false">IF(OR(ABS(B11)&gt;=Materialidade!$B$14,C11&gt;=Materialidade!$B$14),"Significativa (&gt;= ME)","Abaixo da ME")</f>
        <v>Abaixo da ME</v>
      </c>
      <c r="E11" s="7" t="s">
        <v>31</v>
      </c>
    </row>
    <row r="12" customFormat="false" ht="15" hidden="false" customHeight="false" outlineLevel="0" collapsed="false">
      <c r="A12" s="7" t="s">
        <v>39</v>
      </c>
      <c r="B12" s="14" t="n">
        <f aca="false">BP!B14</f>
        <v>392594</v>
      </c>
      <c r="C12" s="14" t="n">
        <f aca="false">ABS(BP!B14-BP!C14)</f>
        <v>108698</v>
      </c>
      <c r="D12" s="7" t="str">
        <f aca="false">IF(OR(ABS(B12)&gt;=Materialidade!$B$14,C12&gt;=Materialidade!$B$14),"Significativa (&gt;= ME)","Abaixo da ME")</f>
        <v>Significativa (&gt;= ME)</v>
      </c>
      <c r="E12" s="7" t="s">
        <v>31</v>
      </c>
    </row>
    <row r="13" customFormat="false" ht="15" hidden="false" customHeight="false" outlineLevel="0" collapsed="false">
      <c r="A13" s="7" t="s">
        <v>40</v>
      </c>
      <c r="B13" s="14" t="n">
        <f aca="false">BP!B15</f>
        <v>263645</v>
      </c>
      <c r="C13" s="14" t="n">
        <f aca="false">ABS(BP!B15-BP!C15)</f>
        <v>46295</v>
      </c>
      <c r="D13" s="7" t="str">
        <f aca="false">IF(OR(ABS(B13)&gt;=Materialidade!$B$14,C13&gt;=Materialidade!$B$14),"Significativa (&gt;= ME)","Abaixo da ME")</f>
        <v>Significativa (&gt;= ME)</v>
      </c>
      <c r="E13" s="7" t="s">
        <v>31</v>
      </c>
    </row>
    <row r="14" customFormat="false" ht="15" hidden="false" customHeight="false" outlineLevel="0" collapsed="false">
      <c r="A14" s="7" t="s">
        <v>41</v>
      </c>
      <c r="B14" s="14" t="n">
        <f aca="false">BP!B16</f>
        <v>1050086</v>
      </c>
      <c r="C14" s="14" t="n">
        <f aca="false">ABS(BP!B16-BP!C16)</f>
        <v>100412</v>
      </c>
      <c r="D14" s="7" t="str">
        <f aca="false">IF(OR(ABS(B14)&gt;=Materialidade!$B$14,C14&gt;=Materialidade!$B$14),"Significativa (&gt;= ME)","Abaixo da ME")</f>
        <v>Significativa (&gt;= ME)</v>
      </c>
      <c r="E14" s="7" t="s">
        <v>31</v>
      </c>
    </row>
    <row r="15" customFormat="false" ht="15" hidden="false" customHeight="false" outlineLevel="0" collapsed="false">
      <c r="A15" s="7" t="s">
        <v>42</v>
      </c>
      <c r="B15" s="14" t="n">
        <f aca="false">BP!B17</f>
        <v>173398</v>
      </c>
      <c r="C15" s="14" t="n">
        <f aca="false">ABS(BP!B17-BP!C17)</f>
        <v>37074</v>
      </c>
      <c r="D15" s="7" t="str">
        <f aca="false">IF(OR(ABS(B15)&gt;=Materialidade!$B$14,C15&gt;=Materialidade!$B$14),"Significativa (&gt;= ME)","Abaixo da ME")</f>
        <v>Significativa (&gt;= ME)</v>
      </c>
      <c r="E15" s="7" t="s">
        <v>31</v>
      </c>
    </row>
    <row r="16" customFormat="false" ht="15" hidden="false" customHeight="false" outlineLevel="0" collapsed="false">
      <c r="A16" s="7" t="s">
        <v>43</v>
      </c>
      <c r="B16" s="14" t="n">
        <f aca="false">BP!B18</f>
        <v>502825</v>
      </c>
      <c r="C16" s="14" t="n">
        <f aca="false">ABS(BP!B18-BP!C18)</f>
        <v>206697</v>
      </c>
      <c r="D16" s="7" t="str">
        <f aca="false">IF(OR(ABS(B16)&gt;=Materialidade!$B$14,C16&gt;=Materialidade!$B$14),"Significativa (&gt;= ME)","Abaixo da ME")</f>
        <v>Significativa (&gt;= ME)</v>
      </c>
      <c r="E16" s="7" t="s">
        <v>31</v>
      </c>
    </row>
    <row r="17" customFormat="false" ht="15" hidden="false" customHeight="false" outlineLevel="0" collapsed="false">
      <c r="A17" s="7" t="s">
        <v>44</v>
      </c>
      <c r="B17" s="14" t="n">
        <f aca="false">BP!B19</f>
        <v>426106</v>
      </c>
      <c r="C17" s="14" t="n">
        <f aca="false">ABS(BP!B19-BP!C19)</f>
        <v>568512</v>
      </c>
      <c r="D17" s="7" t="str">
        <f aca="false">IF(OR(ABS(B17)&gt;=Materialidade!$B$14,C17&gt;=Materialidade!$B$14),"Significativa (&gt;= ME)","Abaixo da ME")</f>
        <v>Significativa (&gt;= ME)</v>
      </c>
      <c r="E17" s="7" t="s">
        <v>31</v>
      </c>
    </row>
    <row r="18" customFormat="false" ht="15" hidden="false" customHeight="false" outlineLevel="0" collapsed="false">
      <c r="A18" s="7" t="s">
        <v>45</v>
      </c>
      <c r="B18" s="14" t="n">
        <f aca="false">BP!B20</f>
        <v>60972</v>
      </c>
      <c r="C18" s="14" t="n">
        <f aca="false">ABS(BP!B20-BP!C20)</f>
        <v>2239</v>
      </c>
      <c r="D18" s="7" t="str">
        <f aca="false">IF(OR(ABS(B18)&gt;=Materialidade!$B$14,C18&gt;=Materialidade!$B$14),"Significativa (&gt;= ME)","Abaixo da ME")</f>
        <v>Abaixo da ME</v>
      </c>
      <c r="E18" s="7" t="s">
        <v>31</v>
      </c>
    </row>
    <row r="19" customFormat="false" ht="15" hidden="false" customHeight="false" outlineLevel="0" collapsed="false">
      <c r="A19" s="7" t="s">
        <v>46</v>
      </c>
      <c r="B19" s="14" t="n">
        <f aca="false">BP!B21</f>
        <v>0</v>
      </c>
      <c r="C19" s="14" t="n">
        <f aca="false">ABS(BP!B21-BP!C21)</f>
        <v>621</v>
      </c>
      <c r="D19" s="7" t="str">
        <f aca="false">IF(OR(ABS(B19)&gt;=Materialidade!$B$14,C19&gt;=Materialidade!$B$14),"Significativa (&gt;= ME)","Abaixo da ME")</f>
        <v>Abaixo da ME</v>
      </c>
      <c r="E19" s="7" t="s">
        <v>31</v>
      </c>
    </row>
    <row r="20" customFormat="false" ht="15" hidden="false" customHeight="false" outlineLevel="0" collapsed="false">
      <c r="A20" s="7" t="s">
        <v>47</v>
      </c>
      <c r="B20" s="14" t="n">
        <f aca="false">BP!B22</f>
        <v>25177</v>
      </c>
      <c r="C20" s="14" t="n">
        <f aca="false">ABS(BP!B22-BP!C22)</f>
        <v>1856649</v>
      </c>
      <c r="D20" s="7" t="str">
        <f aca="false">IF(OR(ABS(B20)&gt;=Materialidade!$B$14,C20&gt;=Materialidade!$B$14),"Significativa (&gt;= ME)","Abaixo da ME")</f>
        <v>Significativa (&gt;= ME)</v>
      </c>
      <c r="E20" s="7" t="s">
        <v>31</v>
      </c>
    </row>
    <row r="21" customFormat="false" ht="15" hidden="false" customHeight="false" outlineLevel="0" collapsed="false">
      <c r="A21" s="7" t="s">
        <v>33</v>
      </c>
      <c r="B21" s="14" t="n">
        <f aca="false">BP!B26</f>
        <v>690886</v>
      </c>
      <c r="C21" s="14" t="n">
        <f aca="false">ABS(BP!B26-BP!C26)</f>
        <v>161801</v>
      </c>
      <c r="D21" s="7" t="str">
        <f aca="false">IF(OR(ABS(B21)&gt;=Materialidade!$B$14,C21&gt;=Materialidade!$B$14),"Significativa (&gt;= ME)","Abaixo da ME")</f>
        <v>Significativa (&gt;= ME)</v>
      </c>
      <c r="E21" s="7" t="s">
        <v>181</v>
      </c>
    </row>
    <row r="22" customFormat="false" ht="15" hidden="false" customHeight="false" outlineLevel="0" collapsed="false">
      <c r="A22" s="7" t="s">
        <v>50</v>
      </c>
      <c r="B22" s="14" t="n">
        <f aca="false">BP!B27</f>
        <v>30627</v>
      </c>
      <c r="C22" s="14" t="n">
        <f aca="false">ABS(BP!B27-BP!C27)</f>
        <v>24</v>
      </c>
      <c r="D22" s="7" t="str">
        <f aca="false">IF(OR(ABS(B22)&gt;=Materialidade!$B$14,C22&gt;=Materialidade!$B$14),"Significativa (&gt;= ME)","Abaixo da ME")</f>
        <v>Abaixo da ME</v>
      </c>
      <c r="E22" s="7" t="s">
        <v>181</v>
      </c>
    </row>
    <row r="23" customFormat="false" ht="15" hidden="false" customHeight="false" outlineLevel="0" collapsed="false">
      <c r="A23" s="7" t="s">
        <v>35</v>
      </c>
      <c r="B23" s="14" t="n">
        <f aca="false">BP!B28</f>
        <v>162189</v>
      </c>
      <c r="C23" s="14" t="n">
        <f aca="false">ABS(BP!B28-BP!C28)</f>
        <v>46009</v>
      </c>
      <c r="D23" s="7" t="str">
        <f aca="false">IF(OR(ABS(B23)&gt;=Materialidade!$B$14,C23&gt;=Materialidade!$B$14),"Significativa (&gt;= ME)","Abaixo da ME")</f>
        <v>Significativa (&gt;= ME)</v>
      </c>
      <c r="E23" s="7" t="s">
        <v>181</v>
      </c>
    </row>
    <row r="24" customFormat="false" ht="15" hidden="false" customHeight="false" outlineLevel="0" collapsed="false">
      <c r="A24" s="7" t="s">
        <v>51</v>
      </c>
      <c r="B24" s="14" t="n">
        <f aca="false">BP!B29</f>
        <v>373949</v>
      </c>
      <c r="C24" s="14" t="n">
        <f aca="false">ABS(BP!B29-BP!C29)</f>
        <v>20415</v>
      </c>
      <c r="D24" s="7" t="str">
        <f aca="false">IF(OR(ABS(B24)&gt;=Materialidade!$B$14,C24&gt;=Materialidade!$B$14),"Significativa (&gt;= ME)","Abaixo da ME")</f>
        <v>Significativa (&gt;= ME)</v>
      </c>
      <c r="E24" s="7" t="s">
        <v>181</v>
      </c>
    </row>
    <row r="25" customFormat="false" ht="15" hidden="false" customHeight="false" outlineLevel="0" collapsed="false">
      <c r="A25" s="7" t="s">
        <v>37</v>
      </c>
      <c r="B25" s="14" t="n">
        <f aca="false">BP!B30</f>
        <v>400463</v>
      </c>
      <c r="C25" s="14" t="n">
        <f aca="false">ABS(BP!B30-BP!C30)</f>
        <v>400463</v>
      </c>
      <c r="D25" s="7" t="str">
        <f aca="false">IF(OR(ABS(B25)&gt;=Materialidade!$B$14,C25&gt;=Materialidade!$B$14),"Significativa (&gt;= ME)","Abaixo da ME")</f>
        <v>Significativa (&gt;= ME)</v>
      </c>
      <c r="E25" s="7" t="s">
        <v>181</v>
      </c>
    </row>
    <row r="26" customFormat="false" ht="15" hidden="false" customHeight="false" outlineLevel="0" collapsed="false">
      <c r="A26" s="7" t="s">
        <v>38</v>
      </c>
      <c r="B26" s="14" t="n">
        <f aca="false">BP!B31</f>
        <v>4590579</v>
      </c>
      <c r="C26" s="14" t="n">
        <f aca="false">ABS(BP!B31-BP!C31)</f>
        <v>1093228</v>
      </c>
      <c r="D26" s="7" t="str">
        <f aca="false">IF(OR(ABS(B26)&gt;=Materialidade!$B$14,C26&gt;=Materialidade!$B$14),"Significativa (&gt;= ME)","Abaixo da ME")</f>
        <v>Significativa (&gt;= ME)</v>
      </c>
      <c r="E26" s="7" t="s">
        <v>181</v>
      </c>
    </row>
    <row r="27" customFormat="false" ht="15" hidden="false" customHeight="false" outlineLevel="0" collapsed="false">
      <c r="A27" s="7" t="s">
        <v>39</v>
      </c>
      <c r="B27" s="14" t="n">
        <f aca="false">BP!B32</f>
        <v>9202412</v>
      </c>
      <c r="C27" s="14" t="n">
        <f aca="false">ABS(BP!B32-BP!C32)</f>
        <v>2275402</v>
      </c>
      <c r="D27" s="7" t="str">
        <f aca="false">IF(OR(ABS(B27)&gt;=Materialidade!$B$14,C27&gt;=Materialidade!$B$14),"Significativa (&gt;= ME)","Abaixo da ME")</f>
        <v>Significativa (&gt;= ME)</v>
      </c>
      <c r="E27" s="7" t="s">
        <v>181</v>
      </c>
    </row>
    <row r="28" customFormat="false" ht="15" hidden="false" customHeight="false" outlineLevel="0" collapsed="false">
      <c r="A28" s="7" t="s">
        <v>40</v>
      </c>
      <c r="B28" s="14" t="n">
        <f aca="false">BP!B33</f>
        <v>597856</v>
      </c>
      <c r="C28" s="14" t="n">
        <f aca="false">ABS(BP!B33-BP!C33)</f>
        <v>117918</v>
      </c>
      <c r="D28" s="7" t="str">
        <f aca="false">IF(OR(ABS(B28)&gt;=Materialidade!$B$14,C28&gt;=Materialidade!$B$14),"Significativa (&gt;= ME)","Abaixo da ME")</f>
        <v>Significativa (&gt;= ME)</v>
      </c>
      <c r="E28" s="7" t="s">
        <v>181</v>
      </c>
    </row>
    <row r="29" customFormat="false" ht="15" hidden="false" customHeight="false" outlineLevel="0" collapsed="false">
      <c r="A29" s="7" t="s">
        <v>41</v>
      </c>
      <c r="B29" s="14" t="n">
        <f aca="false">BP!B34</f>
        <v>794296</v>
      </c>
      <c r="C29" s="14" t="n">
        <f aca="false">ABS(BP!B34-BP!C34)</f>
        <v>112450</v>
      </c>
      <c r="D29" s="7" t="str">
        <f aca="false">IF(OR(ABS(B29)&gt;=Materialidade!$B$14,C29&gt;=Materialidade!$B$14),"Significativa (&gt;= ME)","Abaixo da ME")</f>
        <v>Significativa (&gt;= ME)</v>
      </c>
      <c r="E29" s="7" t="s">
        <v>181</v>
      </c>
    </row>
    <row r="30" customFormat="false" ht="15" hidden="false" customHeight="false" outlineLevel="0" collapsed="false">
      <c r="A30" s="7" t="s">
        <v>43</v>
      </c>
      <c r="B30" s="14" t="n">
        <f aca="false">BP!B35</f>
        <v>102589</v>
      </c>
      <c r="C30" s="14" t="n">
        <f aca="false">ABS(BP!B35-BP!C35)</f>
        <v>61454</v>
      </c>
      <c r="D30" s="7" t="str">
        <f aca="false">IF(OR(ABS(B30)&gt;=Materialidade!$B$14,C30&gt;=Materialidade!$B$14),"Significativa (&gt;= ME)","Abaixo da ME")</f>
        <v>Abaixo da ME</v>
      </c>
      <c r="E30" s="7" t="s">
        <v>181</v>
      </c>
    </row>
    <row r="31" customFormat="false" ht="15" hidden="false" customHeight="false" outlineLevel="0" collapsed="false">
      <c r="A31" s="7" t="s">
        <v>52</v>
      </c>
      <c r="B31" s="14" t="n">
        <f aca="false">BP!B36</f>
        <v>991404</v>
      </c>
      <c r="C31" s="14" t="n">
        <f aca="false">ABS(BP!B36-BP!C36)</f>
        <v>182771</v>
      </c>
      <c r="D31" s="7" t="str">
        <f aca="false">IF(OR(ABS(B31)&gt;=Materialidade!$B$14,C31&gt;=Materialidade!$B$14),"Significativa (&gt;= ME)","Abaixo da ME")</f>
        <v>Significativa (&gt;= ME)</v>
      </c>
      <c r="E31" s="7" t="s">
        <v>181</v>
      </c>
    </row>
    <row r="32" customFormat="false" ht="15" hidden="false" customHeight="false" outlineLevel="0" collapsed="false">
      <c r="A32" s="7" t="s">
        <v>44</v>
      </c>
      <c r="B32" s="14" t="n">
        <f aca="false">BP!B37</f>
        <v>1127582</v>
      </c>
      <c r="C32" s="14" t="n">
        <f aca="false">ABS(BP!B37-BP!C37)</f>
        <v>192944</v>
      </c>
      <c r="D32" s="7" t="str">
        <f aca="false">IF(OR(ABS(B32)&gt;=Materialidade!$B$14,C32&gt;=Materialidade!$B$14),"Significativa (&gt;= ME)","Abaixo da ME")</f>
        <v>Significativa (&gt;= ME)</v>
      </c>
      <c r="E32" s="7" t="s">
        <v>181</v>
      </c>
    </row>
    <row r="33" customFormat="false" ht="15" hidden="false" customHeight="false" outlineLevel="0" collapsed="false">
      <c r="A33" s="7" t="s">
        <v>45</v>
      </c>
      <c r="B33" s="14" t="n">
        <f aca="false">BP!B38</f>
        <v>507</v>
      </c>
      <c r="C33" s="14" t="n">
        <f aca="false">ABS(BP!B38-BP!C38)</f>
        <v>507</v>
      </c>
      <c r="D33" s="7" t="str">
        <f aca="false">IF(OR(ABS(B33)&gt;=Materialidade!$B$14,C33&gt;=Materialidade!$B$14),"Significativa (&gt;= ME)","Abaixo da ME")</f>
        <v>Abaixo da ME</v>
      </c>
      <c r="E33" s="7" t="s">
        <v>181</v>
      </c>
    </row>
    <row r="34" customFormat="false" ht="15" hidden="false" customHeight="false" outlineLevel="0" collapsed="false">
      <c r="A34" s="7" t="s">
        <v>55</v>
      </c>
      <c r="B34" s="14" t="n">
        <f aca="false">BP!B42</f>
        <v>2849002</v>
      </c>
      <c r="C34" s="14" t="n">
        <f aca="false">ABS(BP!B42-BP!C42)</f>
        <v>728935</v>
      </c>
      <c r="D34" s="7" t="str">
        <f aca="false">IF(OR(ABS(B34)&gt;=Materialidade!$B$14,C34&gt;=Materialidade!$B$14),"Significativa (&gt;= ME)","Abaixo da ME")</f>
        <v>Significativa (&gt;= ME)</v>
      </c>
      <c r="E34" s="7" t="s">
        <v>182</v>
      </c>
    </row>
    <row r="35" customFormat="false" ht="15" hidden="false" customHeight="false" outlineLevel="0" collapsed="false">
      <c r="A35" s="7" t="s">
        <v>56</v>
      </c>
      <c r="B35" s="14" t="n">
        <f aca="false">BP!B43</f>
        <v>8145552</v>
      </c>
      <c r="C35" s="14" t="n">
        <f aca="false">ABS(BP!B43-BP!C43)</f>
        <v>371145</v>
      </c>
      <c r="D35" s="7" t="str">
        <f aca="false">IF(OR(ABS(B35)&gt;=Materialidade!$B$14,C35&gt;=Materialidade!$B$14),"Significativa (&gt;= ME)","Abaixo da ME")</f>
        <v>Significativa (&gt;= ME)</v>
      </c>
      <c r="E35" s="7" t="s">
        <v>182</v>
      </c>
    </row>
    <row r="36" customFormat="false" ht="15" hidden="false" customHeight="false" outlineLevel="0" collapsed="false">
      <c r="A36" s="7" t="s">
        <v>57</v>
      </c>
      <c r="B36" s="14" t="n">
        <f aca="false">BP!B44</f>
        <v>19206609</v>
      </c>
      <c r="C36" s="14" t="n">
        <f aca="false">ABS(BP!B44-BP!C44)</f>
        <v>2582999</v>
      </c>
      <c r="D36" s="7" t="str">
        <f aca="false">IF(OR(ABS(B36)&gt;=Materialidade!$B$14,C36&gt;=Materialidade!$B$14),"Significativa (&gt;= ME)","Abaixo da ME")</f>
        <v>Significativa (&gt;= ME)</v>
      </c>
      <c r="E36" s="7" t="s">
        <v>182</v>
      </c>
    </row>
    <row r="37" customFormat="false" ht="15" hidden="false" customHeight="false" outlineLevel="0" collapsed="false">
      <c r="A37" s="7" t="s">
        <v>58</v>
      </c>
      <c r="B37" s="14" t="n">
        <f aca="false">BP!B45</f>
        <v>266300</v>
      </c>
      <c r="C37" s="14" t="n">
        <f aca="false">ABS(BP!B45-BP!C45)</f>
        <v>42683</v>
      </c>
      <c r="D37" s="7" t="str">
        <f aca="false">IF(OR(ABS(B37)&gt;=Materialidade!$B$14,C37&gt;=Materialidade!$B$14),"Significativa (&gt;= ME)","Abaixo da ME")</f>
        <v>Significativa (&gt;= ME)</v>
      </c>
      <c r="E37" s="7" t="s">
        <v>182</v>
      </c>
    </row>
    <row r="38" customFormat="false" ht="15" hidden="false" customHeight="false" outlineLevel="0" collapsed="false">
      <c r="A38" s="7" t="s">
        <v>62</v>
      </c>
      <c r="B38" s="14" t="n">
        <f aca="false">BP!B51</f>
        <v>310773</v>
      </c>
      <c r="C38" s="14" t="n">
        <f aca="false">ABS(BP!B51-BP!C51)</f>
        <v>100329</v>
      </c>
      <c r="D38" s="7" t="str">
        <f aca="false">IF(OR(ABS(B38)&gt;=Materialidade!$B$14,C38&gt;=Materialidade!$B$14),"Significativa (&gt;= ME)","Abaixo da ME")</f>
        <v>Significativa (&gt;= ME)</v>
      </c>
      <c r="E38" s="7" t="s">
        <v>61</v>
      </c>
    </row>
    <row r="39" customFormat="false" ht="15" hidden="false" customHeight="false" outlineLevel="0" collapsed="false">
      <c r="A39" s="7" t="s">
        <v>63</v>
      </c>
      <c r="B39" s="14" t="n">
        <f aca="false">BP!B52</f>
        <v>3059667</v>
      </c>
      <c r="C39" s="14" t="n">
        <f aca="false">ABS(BP!B52-BP!C52)</f>
        <v>735244</v>
      </c>
      <c r="D39" s="7" t="str">
        <f aca="false">IF(OR(ABS(B39)&gt;=Materialidade!$B$14,C39&gt;=Materialidade!$B$14),"Significativa (&gt;= ME)","Abaixo da ME")</f>
        <v>Significativa (&gt;= ME)</v>
      </c>
      <c r="E39" s="7" t="s">
        <v>61</v>
      </c>
    </row>
    <row r="40" customFormat="false" ht="15" hidden="false" customHeight="false" outlineLevel="0" collapsed="false">
      <c r="A40" s="7" t="s">
        <v>64</v>
      </c>
      <c r="B40" s="14" t="n">
        <f aca="false">BP!B53</f>
        <v>81875</v>
      </c>
      <c r="C40" s="14" t="n">
        <f aca="false">ABS(BP!B53-BP!C53)</f>
        <v>1607</v>
      </c>
      <c r="D40" s="7" t="str">
        <f aca="false">IF(OR(ABS(B40)&gt;=Materialidade!$B$14,C40&gt;=Materialidade!$B$14),"Significativa (&gt;= ME)","Abaixo da ME")</f>
        <v>Abaixo da ME</v>
      </c>
      <c r="E40" s="7" t="s">
        <v>61</v>
      </c>
    </row>
    <row r="41" customFormat="false" ht="15" hidden="false" customHeight="false" outlineLevel="0" collapsed="false">
      <c r="A41" s="7" t="s">
        <v>65</v>
      </c>
      <c r="B41" s="14" t="n">
        <f aca="false">BP!B54</f>
        <v>677273</v>
      </c>
      <c r="C41" s="14" t="n">
        <f aca="false">ABS(BP!B54-BP!C54)</f>
        <v>374928</v>
      </c>
      <c r="D41" s="7" t="str">
        <f aca="false">IF(OR(ABS(B41)&gt;=Materialidade!$B$14,C41&gt;=Materialidade!$B$14),"Significativa (&gt;= ME)","Abaixo da ME")</f>
        <v>Significativa (&gt;= ME)</v>
      </c>
      <c r="E41" s="7" t="s">
        <v>61</v>
      </c>
    </row>
    <row r="42" customFormat="false" ht="15" hidden="false" customHeight="false" outlineLevel="0" collapsed="false">
      <c r="A42" s="7" t="s">
        <v>66</v>
      </c>
      <c r="B42" s="14" t="n">
        <f aca="false">BP!B55</f>
        <v>217827</v>
      </c>
      <c r="C42" s="14" t="n">
        <f aca="false">ABS(BP!B55-BP!C55)</f>
        <v>1013378</v>
      </c>
      <c r="D42" s="7" t="str">
        <f aca="false">IF(OR(ABS(B42)&gt;=Materialidade!$B$14,C42&gt;=Materialidade!$B$14),"Significativa (&gt;= ME)","Abaixo da ME")</f>
        <v>Significativa (&gt;= ME)</v>
      </c>
      <c r="E42" s="7" t="s">
        <v>61</v>
      </c>
    </row>
    <row r="43" customFormat="false" ht="15" hidden="false" customHeight="false" outlineLevel="0" collapsed="false">
      <c r="A43" s="7" t="s">
        <v>67</v>
      </c>
      <c r="B43" s="14" t="n">
        <f aca="false">BP!B56</f>
        <v>1850538</v>
      </c>
      <c r="C43" s="14" t="n">
        <f aca="false">ABS(BP!B56-BP!C56)</f>
        <v>174572</v>
      </c>
      <c r="D43" s="7" t="str">
        <f aca="false">IF(OR(ABS(B43)&gt;=Materialidade!$B$14,C43&gt;=Materialidade!$B$14),"Significativa (&gt;= ME)","Abaixo da ME")</f>
        <v>Significativa (&gt;= ME)</v>
      </c>
      <c r="E43" s="7" t="s">
        <v>61</v>
      </c>
    </row>
    <row r="44" customFormat="false" ht="15" hidden="false" customHeight="false" outlineLevel="0" collapsed="false">
      <c r="A44" s="7" t="s">
        <v>68</v>
      </c>
      <c r="B44" s="14" t="n">
        <f aca="false">BP!B57</f>
        <v>2325889</v>
      </c>
      <c r="C44" s="14" t="n">
        <f aca="false">ABS(BP!B57-BP!C57)</f>
        <v>2322011</v>
      </c>
      <c r="D44" s="7" t="str">
        <f aca="false">IF(OR(ABS(B44)&gt;=Materialidade!$B$14,C44&gt;=Materialidade!$B$14),"Significativa (&gt;= ME)","Abaixo da ME")</f>
        <v>Significativa (&gt;= ME)</v>
      </c>
      <c r="E44" s="7" t="s">
        <v>61</v>
      </c>
    </row>
    <row r="45" customFormat="false" ht="15" hidden="false" customHeight="false" outlineLevel="0" collapsed="false">
      <c r="A45" s="7" t="s">
        <v>69</v>
      </c>
      <c r="B45" s="14" t="n">
        <f aca="false">BP!B58</f>
        <v>118854</v>
      </c>
      <c r="C45" s="14" t="n">
        <f aca="false">ABS(BP!B58-BP!C58)</f>
        <v>23471</v>
      </c>
      <c r="D45" s="7" t="str">
        <f aca="false">IF(OR(ABS(B45)&gt;=Materialidade!$B$14,C45&gt;=Materialidade!$B$14),"Significativa (&gt;= ME)","Abaixo da ME")</f>
        <v>Significativa (&gt;= ME)</v>
      </c>
      <c r="E45" s="7" t="s">
        <v>61</v>
      </c>
    </row>
    <row r="46" customFormat="false" ht="15" hidden="false" customHeight="false" outlineLevel="0" collapsed="false">
      <c r="A46" s="7" t="s">
        <v>70</v>
      </c>
      <c r="B46" s="14" t="n">
        <f aca="false">BP!B59</f>
        <v>60108</v>
      </c>
      <c r="C46" s="14" t="n">
        <f aca="false">ABS(BP!B59-BP!C59)</f>
        <v>15283</v>
      </c>
      <c r="D46" s="7" t="str">
        <f aca="false">IF(OR(ABS(B46)&gt;=Materialidade!$B$14,C46&gt;=Materialidade!$B$14),"Significativa (&gt;= ME)","Abaixo da ME")</f>
        <v>Abaixo da ME</v>
      </c>
      <c r="E46" s="7" t="s">
        <v>61</v>
      </c>
    </row>
    <row r="47" customFormat="false" ht="15" hidden="false" customHeight="false" outlineLevel="0" collapsed="false">
      <c r="A47" s="7" t="s">
        <v>71</v>
      </c>
      <c r="B47" s="14" t="n">
        <f aca="false">BP!B60</f>
        <v>99244</v>
      </c>
      <c r="C47" s="14" t="n">
        <f aca="false">ABS(BP!B60-BP!C60)</f>
        <v>79905</v>
      </c>
      <c r="D47" s="7" t="str">
        <f aca="false">IF(OR(ABS(B47)&gt;=Materialidade!$B$14,C47&gt;=Materialidade!$B$14),"Significativa (&gt;= ME)","Abaixo da ME")</f>
        <v>Abaixo da ME</v>
      </c>
      <c r="E47" s="7" t="s">
        <v>61</v>
      </c>
    </row>
    <row r="48" customFormat="false" ht="15" hidden="false" customHeight="false" outlineLevel="0" collapsed="false">
      <c r="A48" s="7" t="s">
        <v>72</v>
      </c>
      <c r="B48" s="14" t="n">
        <f aca="false">BP!B61</f>
        <v>147205</v>
      </c>
      <c r="C48" s="14" t="n">
        <f aca="false">ABS(BP!B61-BP!C61)</f>
        <v>34113</v>
      </c>
      <c r="D48" s="7" t="str">
        <f aca="false">IF(OR(ABS(B48)&gt;=Materialidade!$B$14,C48&gt;=Materialidade!$B$14),"Significativa (&gt;= ME)","Abaixo da ME")</f>
        <v>Significativa (&gt;= ME)</v>
      </c>
      <c r="E48" s="7" t="s">
        <v>61</v>
      </c>
    </row>
    <row r="49" customFormat="false" ht="15" hidden="false" customHeight="false" outlineLevel="0" collapsed="false">
      <c r="A49" s="7" t="s">
        <v>73</v>
      </c>
      <c r="B49" s="14" t="n">
        <f aca="false">BP!B62</f>
        <v>883990</v>
      </c>
      <c r="C49" s="14" t="n">
        <f aca="false">ABS(BP!B62-BP!C62)</f>
        <v>51332</v>
      </c>
      <c r="D49" s="7" t="str">
        <f aca="false">IF(OR(ABS(B49)&gt;=Materialidade!$B$14,C49&gt;=Materialidade!$B$14),"Significativa (&gt;= ME)","Abaixo da ME")</f>
        <v>Significativa (&gt;= ME)</v>
      </c>
      <c r="E49" s="7" t="s">
        <v>61</v>
      </c>
    </row>
    <row r="50" customFormat="false" ht="15" hidden="false" customHeight="false" outlineLevel="0" collapsed="false">
      <c r="A50" s="7" t="s">
        <v>74</v>
      </c>
      <c r="B50" s="14" t="n">
        <f aca="false">BP!B63</f>
        <v>58741</v>
      </c>
      <c r="C50" s="14" t="n">
        <f aca="false">ABS(BP!B63-BP!C63)</f>
        <v>1239</v>
      </c>
      <c r="D50" s="7" t="str">
        <f aca="false">IF(OR(ABS(B50)&gt;=Materialidade!$B$14,C50&gt;=Materialidade!$B$14),"Significativa (&gt;= ME)","Abaixo da ME")</f>
        <v>Abaixo da ME</v>
      </c>
      <c r="E50" s="7" t="s">
        <v>61</v>
      </c>
    </row>
    <row r="51" customFormat="false" ht="15" hidden="false" customHeight="false" outlineLevel="0" collapsed="false">
      <c r="A51" s="7" t="s">
        <v>40</v>
      </c>
      <c r="B51" s="14" t="n">
        <f aca="false">BP!B64</f>
        <v>262821</v>
      </c>
      <c r="C51" s="14" t="n">
        <f aca="false">ABS(BP!B64-BP!C64)</f>
        <v>47866</v>
      </c>
      <c r="D51" s="7" t="str">
        <f aca="false">IF(OR(ABS(B51)&gt;=Materialidade!$B$14,C51&gt;=Materialidade!$B$14),"Significativa (&gt;= ME)","Abaixo da ME")</f>
        <v>Significativa (&gt;= ME)</v>
      </c>
      <c r="E51" s="7" t="s">
        <v>61</v>
      </c>
    </row>
    <row r="52" customFormat="false" ht="15" hidden="false" customHeight="false" outlineLevel="0" collapsed="false">
      <c r="A52" s="7" t="s">
        <v>75</v>
      </c>
      <c r="B52" s="14" t="n">
        <f aca="false">BP!B65</f>
        <v>788232</v>
      </c>
      <c r="C52" s="14" t="n">
        <f aca="false">ABS(BP!B65-BP!C65)</f>
        <v>410963</v>
      </c>
      <c r="D52" s="7" t="str">
        <f aca="false">IF(OR(ABS(B52)&gt;=Materialidade!$B$14,C52&gt;=Materialidade!$B$14),"Significativa (&gt;= ME)","Abaixo da ME")</f>
        <v>Significativa (&gt;= ME)</v>
      </c>
      <c r="E52" s="7" t="s">
        <v>61</v>
      </c>
    </row>
    <row r="53" customFormat="false" ht="15" hidden="false" customHeight="false" outlineLevel="0" collapsed="false">
      <c r="A53" s="7" t="s">
        <v>76</v>
      </c>
      <c r="B53" s="14" t="n">
        <f aca="false">BP!B66</f>
        <v>119280</v>
      </c>
      <c r="C53" s="14" t="n">
        <f aca="false">ABS(BP!B66-BP!C66)</f>
        <v>460720</v>
      </c>
      <c r="D53" s="7" t="str">
        <f aca="false">IF(OR(ABS(B53)&gt;=Materialidade!$B$14,C53&gt;=Materialidade!$B$14),"Significativa (&gt;= ME)","Abaixo da ME")</f>
        <v>Significativa (&gt;= ME)</v>
      </c>
      <c r="E53" s="7" t="s">
        <v>61</v>
      </c>
    </row>
    <row r="54" customFormat="false" ht="15" hidden="false" customHeight="false" outlineLevel="0" collapsed="false">
      <c r="A54" s="7" t="s">
        <v>77</v>
      </c>
      <c r="B54" s="14" t="n">
        <f aca="false">BP!B67</f>
        <v>0</v>
      </c>
      <c r="C54" s="14" t="n">
        <f aca="false">ABS(BP!B67-BP!C67)</f>
        <v>541412</v>
      </c>
      <c r="D54" s="7" t="str">
        <f aca="false">IF(OR(ABS(B54)&gt;=Materialidade!$B$14,C54&gt;=Materialidade!$B$14),"Significativa (&gt;= ME)","Abaixo da ME")</f>
        <v>Significativa (&gt;= ME)</v>
      </c>
      <c r="E54" s="7" t="s">
        <v>61</v>
      </c>
    </row>
    <row r="55" customFormat="false" ht="15" hidden="false" customHeight="false" outlineLevel="0" collapsed="false">
      <c r="A55" s="7" t="s">
        <v>62</v>
      </c>
      <c r="B55" s="14" t="n">
        <f aca="false">BP!B71</f>
        <v>4764</v>
      </c>
      <c r="C55" s="14" t="n">
        <f aca="false">ABS(BP!B71-BP!C71)</f>
        <v>4307</v>
      </c>
      <c r="D55" s="7" t="str">
        <f aca="false">IF(OR(ABS(B55)&gt;=Materialidade!$B$14,C55&gt;=Materialidade!$B$14),"Significativa (&gt;= ME)","Abaixo da ME")</f>
        <v>Abaixo da ME</v>
      </c>
      <c r="E55" s="7" t="s">
        <v>79</v>
      </c>
    </row>
    <row r="56" customFormat="false" ht="15" hidden="false" customHeight="false" outlineLevel="0" collapsed="false">
      <c r="A56" s="7" t="s">
        <v>63</v>
      </c>
      <c r="B56" s="14" t="n">
        <f aca="false">BP!B72</f>
        <v>133544</v>
      </c>
      <c r="C56" s="14" t="n">
        <f aca="false">ABS(BP!B72-BP!C72)</f>
        <v>8836</v>
      </c>
      <c r="D56" s="7" t="str">
        <f aca="false">IF(OR(ABS(B56)&gt;=Materialidade!$B$14,C56&gt;=Materialidade!$B$14),"Significativa (&gt;= ME)","Abaixo da ME")</f>
        <v>Significativa (&gt;= ME)</v>
      </c>
      <c r="E56" s="7" t="s">
        <v>79</v>
      </c>
    </row>
    <row r="57" customFormat="false" ht="15" hidden="false" customHeight="false" outlineLevel="0" collapsed="false">
      <c r="A57" s="7" t="s">
        <v>52</v>
      </c>
      <c r="B57" s="14" t="n">
        <f aca="false">BP!B73</f>
        <v>1982596</v>
      </c>
      <c r="C57" s="14" t="n">
        <f aca="false">ABS(BP!B73-BP!C73)</f>
        <v>87137</v>
      </c>
      <c r="D57" s="7" t="str">
        <f aca="false">IF(OR(ABS(B57)&gt;=Materialidade!$B$14,C57&gt;=Materialidade!$B$14),"Significativa (&gt;= ME)","Abaixo da ME")</f>
        <v>Significativa (&gt;= ME)</v>
      </c>
      <c r="E57" s="7" t="s">
        <v>79</v>
      </c>
    </row>
    <row r="58" customFormat="false" ht="15" hidden="false" customHeight="false" outlineLevel="0" collapsed="false">
      <c r="A58" s="7" t="s">
        <v>65</v>
      </c>
      <c r="B58" s="14" t="n">
        <f aca="false">BP!B74</f>
        <v>239448</v>
      </c>
      <c r="C58" s="14" t="n">
        <f aca="false">ABS(BP!B74-BP!C74)</f>
        <v>51747</v>
      </c>
      <c r="D58" s="7" t="str">
        <f aca="false">IF(OR(ABS(B58)&gt;=Materialidade!$B$14,C58&gt;=Materialidade!$B$14),"Significativa (&gt;= ME)","Abaixo da ME")</f>
        <v>Significativa (&gt;= ME)</v>
      </c>
      <c r="E58" s="7" t="s">
        <v>79</v>
      </c>
    </row>
    <row r="59" customFormat="false" ht="15" hidden="false" customHeight="false" outlineLevel="0" collapsed="false">
      <c r="A59" s="7" t="s">
        <v>66</v>
      </c>
      <c r="B59" s="14" t="n">
        <f aca="false">BP!B75</f>
        <v>3150592</v>
      </c>
      <c r="C59" s="14" t="n">
        <f aca="false">ABS(BP!B75-BP!C75)</f>
        <v>236997</v>
      </c>
      <c r="D59" s="7" t="str">
        <f aca="false">IF(OR(ABS(B59)&gt;=Materialidade!$B$14,C59&gt;=Materialidade!$B$14),"Significativa (&gt;= ME)","Abaixo da ME")</f>
        <v>Significativa (&gt;= ME)</v>
      </c>
      <c r="E59" s="7" t="s">
        <v>79</v>
      </c>
    </row>
    <row r="60" customFormat="false" ht="15" hidden="false" customHeight="false" outlineLevel="0" collapsed="false">
      <c r="A60" s="7" t="s">
        <v>67</v>
      </c>
      <c r="B60" s="14" t="n">
        <f aca="false">BP!B76</f>
        <v>14796386</v>
      </c>
      <c r="C60" s="14" t="n">
        <f aca="false">ABS(BP!B76-BP!C76)</f>
        <v>4194131</v>
      </c>
      <c r="D60" s="7" t="str">
        <f aca="false">IF(OR(ABS(B60)&gt;=Materialidade!$B$14,C60&gt;=Materialidade!$B$14),"Significativa (&gt;= ME)","Abaixo da ME")</f>
        <v>Significativa (&gt;= ME)</v>
      </c>
      <c r="E60" s="7" t="s">
        <v>79</v>
      </c>
    </row>
    <row r="61" customFormat="false" ht="15" hidden="false" customHeight="false" outlineLevel="0" collapsed="false">
      <c r="A61" s="7" t="s">
        <v>69</v>
      </c>
      <c r="B61" s="14" t="n">
        <f aca="false">BP!B77</f>
        <v>1359303</v>
      </c>
      <c r="C61" s="14" t="n">
        <f aca="false">ABS(BP!B77-BP!C77)</f>
        <v>295977</v>
      </c>
      <c r="D61" s="7" t="str">
        <f aca="false">IF(OR(ABS(B61)&gt;=Materialidade!$B$14,C61&gt;=Materialidade!$B$14),"Significativa (&gt;= ME)","Abaixo da ME")</f>
        <v>Significativa (&gt;= ME)</v>
      </c>
      <c r="E61" s="7" t="s">
        <v>79</v>
      </c>
    </row>
    <row r="62" customFormat="false" ht="15" hidden="false" customHeight="false" outlineLevel="0" collapsed="false">
      <c r="A62" s="7" t="s">
        <v>71</v>
      </c>
      <c r="B62" s="14" t="n">
        <f aca="false">BP!B78</f>
        <v>311856</v>
      </c>
      <c r="C62" s="14" t="n">
        <f aca="false">ABS(BP!B78-BP!C78)</f>
        <v>70562</v>
      </c>
      <c r="D62" s="7" t="str">
        <f aca="false">IF(OR(ABS(B62)&gt;=Materialidade!$B$14,C62&gt;=Materialidade!$B$14),"Significativa (&gt;= ME)","Abaixo da ME")</f>
        <v>Significativa (&gt;= ME)</v>
      </c>
      <c r="E62" s="7" t="s">
        <v>79</v>
      </c>
    </row>
    <row r="63" customFormat="false" ht="15" hidden="false" customHeight="false" outlineLevel="0" collapsed="false">
      <c r="A63" s="7" t="s">
        <v>72</v>
      </c>
      <c r="B63" s="14" t="n">
        <f aca="false">BP!B79</f>
        <v>959122</v>
      </c>
      <c r="C63" s="14" t="n">
        <f aca="false">ABS(BP!B79-BP!C79)</f>
        <v>33130</v>
      </c>
      <c r="D63" s="7" t="str">
        <f aca="false">IF(OR(ABS(B63)&gt;=Materialidade!$B$14,C63&gt;=Materialidade!$B$14),"Significativa (&gt;= ME)","Abaixo da ME")</f>
        <v>Significativa (&gt;= ME)</v>
      </c>
      <c r="E63" s="7" t="s">
        <v>79</v>
      </c>
    </row>
    <row r="64" customFormat="false" ht="15" hidden="false" customHeight="false" outlineLevel="0" collapsed="false">
      <c r="A64" s="7" t="s">
        <v>73</v>
      </c>
      <c r="B64" s="14" t="n">
        <f aca="false">BP!B80</f>
        <v>0</v>
      </c>
      <c r="C64" s="14" t="n">
        <f aca="false">ABS(BP!B80-BP!C80)</f>
        <v>142488</v>
      </c>
      <c r="D64" s="7" t="str">
        <f aca="false">IF(OR(ABS(B64)&gt;=Materialidade!$B$14,C64&gt;=Materialidade!$B$14),"Significativa (&gt;= ME)","Abaixo da ME")</f>
        <v>Significativa (&gt;= ME)</v>
      </c>
      <c r="E64" s="7" t="s">
        <v>79</v>
      </c>
    </row>
    <row r="65" customFormat="false" ht="15" hidden="false" customHeight="false" outlineLevel="0" collapsed="false">
      <c r="A65" s="7" t="s">
        <v>74</v>
      </c>
      <c r="B65" s="14" t="n">
        <f aca="false">BP!B81</f>
        <v>234221</v>
      </c>
      <c r="C65" s="14" t="n">
        <f aca="false">ABS(BP!B81-BP!C81)</f>
        <v>36783</v>
      </c>
      <c r="D65" s="7" t="str">
        <f aca="false">IF(OR(ABS(B65)&gt;=Materialidade!$B$14,C65&gt;=Materialidade!$B$14),"Significativa (&gt;= ME)","Abaixo da ME")</f>
        <v>Significativa (&gt;= ME)</v>
      </c>
      <c r="E65" s="7" t="s">
        <v>79</v>
      </c>
    </row>
    <row r="66" customFormat="false" ht="15" hidden="false" customHeight="false" outlineLevel="0" collapsed="false">
      <c r="A66" s="7" t="s">
        <v>40</v>
      </c>
      <c r="B66" s="14" t="n">
        <f aca="false">BP!B82</f>
        <v>268621</v>
      </c>
      <c r="C66" s="14" t="n">
        <f aca="false">ABS(BP!B82-BP!C82)</f>
        <v>97784</v>
      </c>
      <c r="D66" s="7" t="str">
        <f aca="false">IF(OR(ABS(B66)&gt;=Materialidade!$B$14,C66&gt;=Materialidade!$B$14),"Significativa (&gt;= ME)","Abaixo da ME")</f>
        <v>Significativa (&gt;= ME)</v>
      </c>
      <c r="E66" s="7" t="s">
        <v>79</v>
      </c>
    </row>
    <row r="67" customFormat="false" ht="15" hidden="false" customHeight="false" outlineLevel="0" collapsed="false">
      <c r="A67" s="7" t="s">
        <v>75</v>
      </c>
      <c r="B67" s="14" t="n">
        <f aca="false">BP!B83</f>
        <v>224415</v>
      </c>
      <c r="C67" s="14" t="n">
        <f aca="false">ABS(BP!B83-BP!C83)</f>
        <v>22606</v>
      </c>
      <c r="D67" s="7" t="str">
        <f aca="false">IF(OR(ABS(B67)&gt;=Materialidade!$B$14,C67&gt;=Materialidade!$B$14),"Significativa (&gt;= ME)","Abaixo da ME")</f>
        <v>Significativa (&gt;= ME)</v>
      </c>
      <c r="E67" s="7" t="s">
        <v>79</v>
      </c>
    </row>
    <row r="68" customFormat="false" ht="15" hidden="false" customHeight="false" outlineLevel="0" collapsed="false">
      <c r="A68" s="7" t="s">
        <v>76</v>
      </c>
      <c r="B68" s="14" t="n">
        <f aca="false">BP!B84</f>
        <v>661273</v>
      </c>
      <c r="C68" s="14" t="n">
        <f aca="false">ABS(BP!B84-BP!C84)</f>
        <v>339315</v>
      </c>
      <c r="D68" s="7" t="str">
        <f aca="false">IF(OR(ABS(B68)&gt;=Materialidade!$B$14,C68&gt;=Materialidade!$B$14),"Significativa (&gt;= ME)","Abaixo da ME")</f>
        <v>Significativa (&gt;= ME)</v>
      </c>
      <c r="E68" s="7" t="s">
        <v>79</v>
      </c>
    </row>
    <row r="69" customFormat="false" ht="15" hidden="false" customHeight="false" outlineLevel="0" collapsed="false">
      <c r="A69" s="7" t="s">
        <v>80</v>
      </c>
      <c r="B69" s="14" t="n">
        <f aca="false">BP!B85</f>
        <v>1934020</v>
      </c>
      <c r="C69" s="14" t="n">
        <f aca="false">ABS(BP!B85-BP!C85)</f>
        <v>977324</v>
      </c>
      <c r="D69" s="7" t="str">
        <f aca="false">IF(OR(ABS(B69)&gt;=Materialidade!$B$14,C69&gt;=Materialidade!$B$14),"Significativa (&gt;= ME)","Abaixo da ME")</f>
        <v>Significativa (&gt;= ME)</v>
      </c>
      <c r="E69" s="7" t="s">
        <v>79</v>
      </c>
    </row>
    <row r="71" customFormat="false" ht="15" hidden="false" customHeight="false" outlineLevel="0" collapsed="false">
      <c r="A71" s="11" t="s">
        <v>183</v>
      </c>
      <c r="B71" s="11" t="n">
        <f aca="false">COUNTIF(D5:D69,"Significativa (&gt;= ME)")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6" min="4" style="0" width="20"/>
  </cols>
  <sheetData>
    <row r="1" customFormat="false" ht="16.1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185</v>
      </c>
    </row>
    <row r="5" customFormat="false" ht="15" hidden="false" customHeight="false" outlineLevel="0" collapsed="false">
      <c r="A5" s="6" t="s">
        <v>186</v>
      </c>
      <c r="B5" s="6" t="s">
        <v>187</v>
      </c>
      <c r="C5" s="6" t="s">
        <v>188</v>
      </c>
      <c r="D5" s="6" t="s">
        <v>189</v>
      </c>
      <c r="E5" s="6" t="s">
        <v>190</v>
      </c>
      <c r="F5" s="6" t="s">
        <v>191</v>
      </c>
    </row>
    <row r="6" customFormat="false" ht="15" hidden="false" customHeight="false" outlineLevel="0" collapsed="false">
      <c r="A6" s="7" t="s">
        <v>192</v>
      </c>
      <c r="B6" s="7" t="s">
        <v>193</v>
      </c>
      <c r="C6" s="8" t="n">
        <v>1</v>
      </c>
      <c r="D6" s="18" t="n">
        <v>9589772.95</v>
      </c>
      <c r="E6" s="18" t="n">
        <v>1855772.95</v>
      </c>
      <c r="F6" s="18" t="n">
        <v>7734000</v>
      </c>
    </row>
    <row r="7" customFormat="false" ht="15" hidden="false" customHeight="false" outlineLevel="0" collapsed="false">
      <c r="A7" s="7" t="s">
        <v>194</v>
      </c>
      <c r="B7" s="7" t="s">
        <v>195</v>
      </c>
      <c r="C7" s="8" t="n">
        <v>3</v>
      </c>
      <c r="D7" s="18" t="n">
        <v>4353100210.19</v>
      </c>
      <c r="E7" s="18" t="n">
        <v>161300210.19</v>
      </c>
      <c r="F7" s="18" t="n">
        <v>4191800000</v>
      </c>
    </row>
    <row r="8" customFormat="false" ht="15" hidden="false" customHeight="false" outlineLevel="0" collapsed="false">
      <c r="A8" s="7" t="s">
        <v>196</v>
      </c>
      <c r="B8" s="7" t="s">
        <v>197</v>
      </c>
      <c r="C8" s="8" t="n">
        <v>2</v>
      </c>
      <c r="D8" s="18" t="n">
        <v>717536775.6</v>
      </c>
      <c r="E8" s="18" t="n">
        <v>17536775.6</v>
      </c>
      <c r="F8" s="18" t="n">
        <v>700000000</v>
      </c>
    </row>
    <row r="9" customFormat="false" ht="15" hidden="false" customHeight="false" outlineLevel="0" collapsed="false">
      <c r="A9" s="7" t="s">
        <v>198</v>
      </c>
      <c r="B9" s="7" t="s">
        <v>199</v>
      </c>
      <c r="C9" s="8" t="n">
        <v>512150</v>
      </c>
      <c r="D9" s="18" t="n">
        <v>16953261009.44</v>
      </c>
      <c r="E9" s="18" t="n">
        <v>5086026693.4</v>
      </c>
      <c r="F9" s="18" t="n">
        <v>11868128000</v>
      </c>
    </row>
    <row r="10" customFormat="false" ht="15" hidden="false" customHeight="false" outlineLevel="0" collapsed="false">
      <c r="A10" s="7" t="s">
        <v>200</v>
      </c>
      <c r="B10" s="7" t="s">
        <v>201</v>
      </c>
      <c r="C10" s="8" t="n">
        <v>42</v>
      </c>
      <c r="D10" s="18" t="n">
        <v>1683191481.99</v>
      </c>
      <c r="E10" s="18" t="n">
        <v>281148481.99</v>
      </c>
      <c r="F10" s="18" t="n">
        <v>1402043000</v>
      </c>
    </row>
    <row r="11" customFormat="false" ht="15" hidden="false" customHeight="false" outlineLevel="0" collapsed="false">
      <c r="A11" s="7" t="s">
        <v>202</v>
      </c>
      <c r="B11" s="7" t="s">
        <v>203</v>
      </c>
      <c r="C11" s="8" t="n">
        <v>9</v>
      </c>
      <c r="D11" s="18" t="n">
        <v>301897374.7</v>
      </c>
      <c r="E11" s="18" t="n">
        <v>41897374.7</v>
      </c>
      <c r="F11" s="18" t="n">
        <v>260000000</v>
      </c>
    </row>
    <row r="12" customFormat="false" ht="15" hidden="false" customHeight="false" outlineLevel="0" collapsed="false">
      <c r="A12" s="7" t="s">
        <v>204</v>
      </c>
      <c r="B12" s="7" t="s">
        <v>205</v>
      </c>
      <c r="C12" s="8" t="n">
        <v>2000</v>
      </c>
      <c r="D12" s="18" t="n">
        <v>158646675.19</v>
      </c>
      <c r="E12" s="18" t="n">
        <v>81870675.19</v>
      </c>
      <c r="F12" s="18" t="n">
        <v>76776000</v>
      </c>
    </row>
    <row r="13" customFormat="false" ht="15" hidden="false" customHeight="false" outlineLevel="0" collapsed="false">
      <c r="A13" s="7" t="s">
        <v>206</v>
      </c>
      <c r="B13" s="7" t="s">
        <v>207</v>
      </c>
      <c r="C13" s="8" t="n">
        <v>5950</v>
      </c>
      <c r="D13" s="18" t="n">
        <v>41790181.16</v>
      </c>
      <c r="E13" s="18" t="n">
        <v>21219181.16</v>
      </c>
      <c r="F13" s="18" t="n">
        <v>20571000</v>
      </c>
    </row>
    <row r="14" customFormat="false" ht="15" hidden="false" customHeight="false" outlineLevel="0" collapsed="false">
      <c r="A14" s="7" t="s">
        <v>208</v>
      </c>
      <c r="B14" s="7" t="s">
        <v>209</v>
      </c>
      <c r="C14" s="8" t="n">
        <v>2</v>
      </c>
      <c r="D14" s="18" t="n">
        <v>370444956.7</v>
      </c>
      <c r="E14" s="18" t="n">
        <v>210887956.7</v>
      </c>
      <c r="F14" s="18" t="n">
        <v>159557000</v>
      </c>
    </row>
    <row r="15" customFormat="false" ht="15" hidden="false" customHeight="false" outlineLevel="0" collapsed="false">
      <c r="A15" s="7" t="s">
        <v>210</v>
      </c>
      <c r="B15" s="7" t="s">
        <v>211</v>
      </c>
      <c r="C15" s="8" t="n">
        <v>6</v>
      </c>
      <c r="D15" s="18" t="n">
        <v>826758894.43</v>
      </c>
      <c r="E15" s="18" t="n">
        <v>306758894.43</v>
      </c>
      <c r="F15" s="18" t="n">
        <v>520000000</v>
      </c>
    </row>
    <row r="16" customFormat="false" ht="15" hidden="false" customHeight="false" outlineLevel="0" collapsed="false">
      <c r="B16" s="11" t="s">
        <v>212</v>
      </c>
      <c r="C16" s="12" t="n">
        <f aca="false">SUM(C6:C15)</f>
        <v>520165</v>
      </c>
      <c r="D16" s="19" t="n">
        <f aca="false">SUM(D6:D15)</f>
        <v>25416217332.35</v>
      </c>
      <c r="E16" s="19" t="n">
        <f aca="false">SUM(E6:E15)</f>
        <v>6210502016.31</v>
      </c>
      <c r="F16" s="19" t="n">
        <f aca="false">SUM(F6:F15)</f>
        <v>19206609000</v>
      </c>
    </row>
    <row r="17" customFormat="false" ht="15" hidden="false" customHeight="false" outlineLevel="0" collapsed="false">
      <c r="B17" s="11" t="s">
        <v>213</v>
      </c>
      <c r="F17" s="20" t="n">
        <f aca="false">BP!B44*1000</f>
        <v>19206609000</v>
      </c>
    </row>
    <row r="18" customFormat="false" ht="15" hidden="false" customHeight="false" outlineLevel="0" collapsed="false">
      <c r="B18" s="11" t="s">
        <v>214</v>
      </c>
      <c r="F18" s="19" t="n">
        <f aca="false">ROUND(F16-F17,2)</f>
        <v>0</v>
      </c>
    </row>
    <row r="19" customFormat="false" ht="15" hidden="false" customHeight="false" outlineLevel="0" collapsed="false">
      <c r="B19" s="11" t="s">
        <v>215</v>
      </c>
      <c r="F19" s="7" t="str">
        <f aca="false">IF(F18=0,"Conciliado sem diferença","Investigar diferença")</f>
        <v>Conciliado sem diferença</v>
      </c>
    </row>
    <row r="21" customFormat="false" ht="15" hidden="false" customHeight="false" outlineLevel="0" collapsed="false">
      <c r="B21" s="7" t="s">
        <v>216</v>
      </c>
      <c r="F21" s="8" t="n">
        <v>1849570</v>
      </c>
    </row>
    <row r="22" customFormat="false" ht="15" hidden="false" customHeight="false" outlineLevel="0" collapsed="false">
      <c r="B22" s="7" t="s">
        <v>217</v>
      </c>
      <c r="F22" s="14" t="n">
        <f aca="false">BP!B44-BP!C44</f>
        <v>2582999</v>
      </c>
    </row>
    <row r="23" customFormat="false" ht="15" hidden="false" customHeight="false" outlineLevel="0" collapsed="false">
      <c r="B23" s="7" t="s">
        <v>218</v>
      </c>
      <c r="F23" s="8" t="n">
        <v>43788</v>
      </c>
    </row>
    <row r="24" customFormat="false" ht="15" hidden="false" customHeight="false" outlineLevel="0" collapsed="false">
      <c r="B24" s="7" t="s">
        <v>219</v>
      </c>
      <c r="F24" s="18" t="n">
        <v>7150619000</v>
      </c>
    </row>
    <row r="25" customFormat="false" ht="15" hidden="false" customHeight="false" outlineLevel="0" collapsed="false">
      <c r="B25" s="7" t="s">
        <v>220</v>
      </c>
      <c r="F25" s="18" t="n">
        <v>7150619000</v>
      </c>
    </row>
    <row r="26" customFormat="false" ht="15" hidden="false" customHeight="false" outlineLevel="0" collapsed="false">
      <c r="B26" s="7" t="s">
        <v>221</v>
      </c>
      <c r="F26" s="21" t="n">
        <f aca="false">ROUND(F24-F25,2)</f>
        <v>0</v>
      </c>
    </row>
    <row r="29" customFormat="false" ht="15" hidden="false" customHeight="false" outlineLevel="0" collapsed="false">
      <c r="A29" s="6" t="s">
        <v>222</v>
      </c>
      <c r="B29" s="6"/>
      <c r="C29" s="6"/>
      <c r="D29" s="6" t="s">
        <v>223</v>
      </c>
      <c r="E29" s="6" t="s">
        <v>224</v>
      </c>
      <c r="F29" s="6" t="s">
        <v>225</v>
      </c>
    </row>
    <row r="30" customFormat="false" ht="15" hidden="false" customHeight="false" outlineLevel="0" collapsed="false">
      <c r="A30" s="7" t="s">
        <v>226</v>
      </c>
      <c r="D30" s="18" t="n">
        <v>11868128000</v>
      </c>
      <c r="E30" s="18" t="n">
        <v>11868128000</v>
      </c>
      <c r="F30" s="21" t="n">
        <f aca="false">ROUND(D30-E30,2)</f>
        <v>0</v>
      </c>
    </row>
    <row r="31" customFormat="false" ht="15" hidden="false" customHeight="false" outlineLevel="0" collapsed="false">
      <c r="A31" s="7" t="s">
        <v>227</v>
      </c>
      <c r="D31" s="18" t="n">
        <v>5831357000</v>
      </c>
      <c r="E31" s="18" t="n">
        <v>5831357000</v>
      </c>
      <c r="F31" s="21" t="n">
        <f aca="false">ROUND(D31-E31,2)</f>
        <v>0</v>
      </c>
    </row>
    <row r="32" customFormat="false" ht="15" hidden="false" customHeight="false" outlineLevel="0" collapsed="false">
      <c r="A32" s="7" t="s">
        <v>228</v>
      </c>
      <c r="D32" s="18" t="n">
        <v>1409777000</v>
      </c>
      <c r="E32" s="18" t="n">
        <v>1409777000</v>
      </c>
      <c r="F32" s="21" t="n">
        <f aca="false">ROUND(D32-E32,2)</f>
        <v>0</v>
      </c>
    </row>
    <row r="33" customFormat="false" ht="15" hidden="false" customHeight="false" outlineLevel="0" collapsed="false">
      <c r="A33" s="7" t="s">
        <v>229</v>
      </c>
      <c r="D33" s="18" t="n">
        <v>97347000</v>
      </c>
      <c r="E33" s="18" t="n">
        <v>97347000</v>
      </c>
      <c r="F33" s="21" t="n">
        <f aca="false">ROUND(D33-E33,2)</f>
        <v>0</v>
      </c>
    </row>
    <row r="36" customFormat="false" ht="15" hidden="false" customHeight="false" outlineLevel="0" collapsed="false">
      <c r="A36" s="11" t="s">
        <v>230</v>
      </c>
    </row>
    <row r="37" customFormat="false" ht="15" hidden="false" customHeight="false" outlineLevel="0" collapsed="false">
      <c r="A37" s="7" t="s">
        <v>231</v>
      </c>
      <c r="F37" s="8" t="n">
        <v>16623610</v>
      </c>
    </row>
    <row r="38" customFormat="false" ht="15" hidden="false" customHeight="false" outlineLevel="0" collapsed="false">
      <c r="A38" s="7" t="s">
        <v>232</v>
      </c>
      <c r="F38" s="8" t="n">
        <v>731591</v>
      </c>
    </row>
    <row r="39" customFormat="false" ht="15" hidden="false" customHeight="false" outlineLevel="0" collapsed="false">
      <c r="A39" s="7" t="s">
        <v>233</v>
      </c>
      <c r="F39" s="8" t="n">
        <v>-1728</v>
      </c>
    </row>
    <row r="40" customFormat="false" ht="15" hidden="false" customHeight="false" outlineLevel="0" collapsed="false">
      <c r="A40" s="7" t="s">
        <v>234</v>
      </c>
      <c r="F40" s="8" t="n">
        <v>43788</v>
      </c>
    </row>
    <row r="41" customFormat="false" ht="15" hidden="false" customHeight="false" outlineLevel="0" collapsed="false">
      <c r="A41" s="7" t="s">
        <v>235</v>
      </c>
      <c r="F41" s="8" t="n">
        <v>-930256</v>
      </c>
    </row>
    <row r="42" customFormat="false" ht="15" hidden="false" customHeight="false" outlineLevel="0" collapsed="false">
      <c r="A42" s="7" t="s">
        <v>236</v>
      </c>
      <c r="F42" s="8" t="n">
        <v>2901548</v>
      </c>
    </row>
    <row r="43" customFormat="false" ht="15" hidden="false" customHeight="false" outlineLevel="0" collapsed="false">
      <c r="A43" s="7" t="s">
        <v>237</v>
      </c>
      <c r="F43" s="8" t="n">
        <v>-148017</v>
      </c>
    </row>
    <row r="44" customFormat="false" ht="15" hidden="false" customHeight="false" outlineLevel="0" collapsed="false">
      <c r="A44" s="7" t="s">
        <v>238</v>
      </c>
      <c r="F44" s="8" t="n">
        <v>-13927</v>
      </c>
    </row>
    <row r="45" customFormat="false" ht="15" hidden="false" customHeight="false" outlineLevel="0" collapsed="false">
      <c r="A45" s="11" t="s">
        <v>239</v>
      </c>
      <c r="F45" s="12" t="n">
        <f aca="false">SUM(F37:F44)</f>
        <v>19206609</v>
      </c>
    </row>
    <row r="46" customFormat="false" ht="15" hidden="false" customHeight="false" outlineLevel="0" collapsed="false">
      <c r="A46" s="7" t="s">
        <v>240</v>
      </c>
      <c r="F46" s="7" t="str">
        <f aca="false">IF(F45=BP!B44,"Confere","DIFERENÇA")</f>
        <v>Confere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4" t="s">
        <v>22</v>
      </c>
    </row>
    <row r="5" customFormat="false" ht="15" hidden="false" customHeight="false" outlineLevel="0" collapsed="false">
      <c r="A5" s="7" t="s">
        <v>242</v>
      </c>
      <c r="B5" s="18" t="n">
        <v>19206708033.67</v>
      </c>
      <c r="C5" s="7" t="s">
        <v>243</v>
      </c>
    </row>
    <row r="6" customFormat="false" ht="15" hidden="false" customHeight="false" outlineLevel="0" collapsed="false">
      <c r="A6" s="7" t="s">
        <v>244</v>
      </c>
      <c r="B6" s="20" t="n">
        <f aca="false">Materialidade!B14*1000</f>
        <v>113633000</v>
      </c>
      <c r="C6" s="7" t="s">
        <v>245</v>
      </c>
    </row>
    <row r="7" customFormat="false" ht="15" hidden="false" customHeight="false" outlineLevel="0" collapsed="false">
      <c r="A7" s="7" t="s">
        <v>246</v>
      </c>
      <c r="B7" s="17" t="n">
        <v>0.1</v>
      </c>
      <c r="C7" s="7" t="s">
        <v>247</v>
      </c>
    </row>
    <row r="8" customFormat="false" ht="15" hidden="false" customHeight="false" outlineLevel="0" collapsed="false">
      <c r="A8" s="7" t="s">
        <v>248</v>
      </c>
      <c r="B8" s="21" t="n">
        <f aca="false">B6*B7</f>
        <v>11363300</v>
      </c>
      <c r="C8" s="7"/>
    </row>
    <row r="9" customFormat="false" ht="15" hidden="false" customHeight="false" outlineLevel="0" collapsed="false">
      <c r="A9" s="7" t="s">
        <v>249</v>
      </c>
      <c r="B9" s="22" t="n">
        <v>2.9957</v>
      </c>
      <c r="C9" s="7" t="s">
        <v>250</v>
      </c>
    </row>
    <row r="10" customFormat="false" ht="15" hidden="false" customHeight="false" outlineLevel="0" collapsed="false">
      <c r="A10" s="7" t="s">
        <v>251</v>
      </c>
      <c r="B10" s="23" t="n">
        <v>1.6</v>
      </c>
      <c r="C10" s="7" t="s">
        <v>252</v>
      </c>
    </row>
    <row r="11" customFormat="false" ht="15" hidden="false" customHeight="false" outlineLevel="0" collapsed="false">
      <c r="A11" s="7" t="s">
        <v>253</v>
      </c>
      <c r="B11" s="9" t="n">
        <f aca="false">ROUNDUP(B5*B9/(B6-B8*B10),0)</f>
        <v>603</v>
      </c>
      <c r="C11" s="7"/>
    </row>
    <row r="12" customFormat="false" ht="15" hidden="false" customHeight="false" outlineLevel="0" collapsed="false">
      <c r="A12" s="7" t="s">
        <v>254</v>
      </c>
      <c r="B12" s="21" t="n">
        <f aca="false">B5/B11</f>
        <v>31851920.4538474</v>
      </c>
      <c r="C12" s="7"/>
    </row>
    <row r="13" customFormat="false" ht="15" hidden="false" customHeight="false" outlineLevel="0" collapsed="false">
      <c r="A13" s="7" t="s">
        <v>255</v>
      </c>
      <c r="B13" s="18" t="n">
        <v>15663335.37</v>
      </c>
      <c r="C13" s="7"/>
    </row>
    <row r="14" customFormat="false" ht="15" hidden="false" customHeight="false" outlineLevel="0" collapsed="false">
      <c r="A14" s="7" t="s">
        <v>256</v>
      </c>
      <c r="B14" s="8" t="n">
        <v>603</v>
      </c>
      <c r="C14" s="7"/>
    </row>
    <row r="15" customFormat="false" ht="15" hidden="false" customHeight="false" outlineLevel="0" collapsed="false">
      <c r="A15" s="7" t="s">
        <v>257</v>
      </c>
      <c r="B15" s="7" t="str">
        <f aca="false">IF(B11=B14,"Planilha = código","DIVERGÊNCIA")</f>
        <v>Planilha = código</v>
      </c>
      <c r="C15" s="7"/>
    </row>
    <row r="16" customFormat="false" ht="15" hidden="false" customHeight="false" outlineLevel="0" collapsed="false">
      <c r="A16" s="7" t="s">
        <v>258</v>
      </c>
      <c r="B16" s="8" t="n">
        <v>437</v>
      </c>
      <c r="C16" s="7"/>
    </row>
    <row r="17" customFormat="false" ht="15" hidden="false" customHeight="false" outlineLevel="0" collapsed="false">
      <c r="A17" s="7" t="s">
        <v>259</v>
      </c>
      <c r="B17" s="8" t="n">
        <v>37</v>
      </c>
      <c r="C17" s="7"/>
    </row>
    <row r="18" customFormat="false" ht="15" hidden="false" customHeight="false" outlineLevel="0" collapsed="false">
      <c r="A18" s="7" t="s">
        <v>260</v>
      </c>
      <c r="B18" s="8" t="n">
        <v>20014</v>
      </c>
      <c r="C18" s="7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4" t="s">
        <v>22</v>
      </c>
    </row>
    <row r="4" customFormat="false" ht="23.85" hidden="false" customHeight="false" outlineLevel="0" collapsed="false">
      <c r="A4" s="6" t="s">
        <v>263</v>
      </c>
      <c r="B4" s="6" t="s">
        <v>186</v>
      </c>
      <c r="C4" s="6" t="s">
        <v>264</v>
      </c>
      <c r="D4" s="6" t="s">
        <v>265</v>
      </c>
      <c r="E4" s="6" t="s">
        <v>266</v>
      </c>
      <c r="F4" s="6" t="s">
        <v>267</v>
      </c>
      <c r="G4" s="6" t="s">
        <v>268</v>
      </c>
      <c r="H4" s="6" t="s">
        <v>269</v>
      </c>
      <c r="I4" s="6" t="s">
        <v>270</v>
      </c>
    </row>
    <row r="5" customFormat="false" ht="15" hidden="false" customHeight="false" outlineLevel="0" collapsed="false">
      <c r="A5" s="7" t="s">
        <v>271</v>
      </c>
      <c r="B5" s="7" t="s">
        <v>198</v>
      </c>
      <c r="C5" s="7" t="s">
        <v>272</v>
      </c>
      <c r="D5" s="7" t="s">
        <v>273</v>
      </c>
      <c r="E5" s="18" t="n">
        <v>413420.4</v>
      </c>
      <c r="F5" s="24" t="str">
        <f aca="false">IF(E5&gt;=MUS_Parametros!$B$12,"SIM","NÃO")</f>
        <v>NÃO</v>
      </c>
      <c r="G5" s="18" t="n">
        <v>413420.4</v>
      </c>
      <c r="H5" s="21" t="n">
        <f aca="false">E5-G5</f>
        <v>0</v>
      </c>
      <c r="I5" s="25" t="n">
        <f aca="false">IF(F5="SIM","",H5/E5)</f>
        <v>0</v>
      </c>
    </row>
    <row r="6" customFormat="false" ht="15" hidden="false" customHeight="false" outlineLevel="0" collapsed="false">
      <c r="A6" s="7" t="s">
        <v>274</v>
      </c>
      <c r="B6" s="7" t="s">
        <v>194</v>
      </c>
      <c r="C6" s="7" t="s">
        <v>275</v>
      </c>
      <c r="D6" s="7" t="s">
        <v>273</v>
      </c>
      <c r="E6" s="18" t="n">
        <v>1849570000</v>
      </c>
      <c r="F6" s="24" t="str">
        <f aca="false">IF(E6&gt;=MUS_Parametros!$B$12,"SIM","NÃO")</f>
        <v>SIM</v>
      </c>
      <c r="G6" s="18" t="n">
        <v>1849570000</v>
      </c>
      <c r="H6" s="21" t="n">
        <f aca="false">E6-G6</f>
        <v>0</v>
      </c>
      <c r="I6" s="25" t="str">
        <f aca="false">IF(F6="SIM","",H6/E6)</f>
        <v/>
      </c>
    </row>
    <row r="7" customFormat="false" ht="15" hidden="false" customHeight="false" outlineLevel="0" collapsed="false">
      <c r="A7" s="7" t="s">
        <v>276</v>
      </c>
      <c r="B7" s="7" t="s">
        <v>198</v>
      </c>
      <c r="C7" s="7" t="s">
        <v>272</v>
      </c>
      <c r="D7" s="7" t="s">
        <v>273</v>
      </c>
      <c r="E7" s="18" t="n">
        <v>468861.08</v>
      </c>
      <c r="F7" s="24" t="str">
        <f aca="false">IF(E7&gt;=MUS_Parametros!$B$12,"SIM","NÃO")</f>
        <v>NÃO</v>
      </c>
      <c r="G7" s="18" t="n">
        <v>468861.08</v>
      </c>
      <c r="H7" s="21" t="n">
        <f aca="false">E7-G7</f>
        <v>0</v>
      </c>
      <c r="I7" s="25" t="n">
        <f aca="false">IF(F7="SIM","",H7/E7)</f>
        <v>0</v>
      </c>
    </row>
    <row r="8" customFormat="false" ht="15" hidden="false" customHeight="false" outlineLevel="0" collapsed="false">
      <c r="A8" s="7" t="s">
        <v>277</v>
      </c>
      <c r="B8" s="7" t="s">
        <v>200</v>
      </c>
      <c r="C8" s="7" t="s">
        <v>278</v>
      </c>
      <c r="D8" s="7" t="s">
        <v>273</v>
      </c>
      <c r="E8" s="18" t="n">
        <v>47687003.37</v>
      </c>
      <c r="F8" s="24" t="str">
        <f aca="false">IF(E8&gt;=MUS_Parametros!$B$12,"SIM","NÃO")</f>
        <v>SIM</v>
      </c>
      <c r="G8" s="18" t="n">
        <v>47687003.37</v>
      </c>
      <c r="H8" s="21" t="n">
        <f aca="false">E8-G8</f>
        <v>0</v>
      </c>
      <c r="I8" s="25" t="str">
        <f aca="false">IF(F8="SIM","",H8/E8)</f>
        <v/>
      </c>
    </row>
    <row r="9" customFormat="false" ht="15" hidden="false" customHeight="false" outlineLevel="0" collapsed="false">
      <c r="A9" s="7" t="s">
        <v>279</v>
      </c>
      <c r="B9" s="7" t="s">
        <v>198</v>
      </c>
      <c r="C9" s="7" t="s">
        <v>280</v>
      </c>
      <c r="D9" s="7" t="s">
        <v>273</v>
      </c>
      <c r="E9" s="18" t="n">
        <v>69254.51</v>
      </c>
      <c r="F9" s="24" t="str">
        <f aca="false">IF(E9&gt;=MUS_Parametros!$B$12,"SIM","NÃO")</f>
        <v>NÃO</v>
      </c>
      <c r="G9" s="18" t="n">
        <v>69254.51</v>
      </c>
      <c r="H9" s="21" t="n">
        <f aca="false">E9-G9</f>
        <v>0</v>
      </c>
      <c r="I9" s="25" t="n">
        <f aca="false">IF(F9="SIM","",H9/E9)</f>
        <v>0</v>
      </c>
    </row>
    <row r="10" customFormat="false" ht="15" hidden="false" customHeight="false" outlineLevel="0" collapsed="false">
      <c r="A10" s="7" t="s">
        <v>281</v>
      </c>
      <c r="B10" s="7" t="s">
        <v>198</v>
      </c>
      <c r="C10" s="7" t="s">
        <v>280</v>
      </c>
      <c r="D10" s="7" t="s">
        <v>273</v>
      </c>
      <c r="E10" s="18" t="n">
        <v>104887.4</v>
      </c>
      <c r="F10" s="24" t="str">
        <f aca="false">IF(E10&gt;=MUS_Parametros!$B$12,"SIM","NÃO")</f>
        <v>NÃO</v>
      </c>
      <c r="G10" s="18" t="n">
        <v>104887.4</v>
      </c>
      <c r="H10" s="21" t="n">
        <f aca="false">E10-G10</f>
        <v>0</v>
      </c>
      <c r="I10" s="25" t="n">
        <f aca="false">IF(F10="SIM","",H10/E10)</f>
        <v>0</v>
      </c>
    </row>
    <row r="11" customFormat="false" ht="15" hidden="false" customHeight="false" outlineLevel="0" collapsed="false">
      <c r="A11" s="7" t="s">
        <v>282</v>
      </c>
      <c r="B11" s="7" t="s">
        <v>198</v>
      </c>
      <c r="C11" s="7" t="s">
        <v>283</v>
      </c>
      <c r="D11" s="7" t="s">
        <v>273</v>
      </c>
      <c r="E11" s="18" t="n">
        <v>769016.08</v>
      </c>
      <c r="F11" s="24" t="str">
        <f aca="false">IF(E11&gt;=MUS_Parametros!$B$12,"SIM","NÃO")</f>
        <v>NÃO</v>
      </c>
      <c r="G11" s="18" t="n">
        <v>769016.08</v>
      </c>
      <c r="H11" s="21" t="n">
        <f aca="false">E11-G11</f>
        <v>0</v>
      </c>
      <c r="I11" s="25" t="n">
        <f aca="false">IF(F11="SIM","",H11/E11)</f>
        <v>0</v>
      </c>
    </row>
    <row r="12" customFormat="false" ht="15" hidden="false" customHeight="false" outlineLevel="0" collapsed="false">
      <c r="A12" s="7" t="s">
        <v>284</v>
      </c>
      <c r="B12" s="7" t="s">
        <v>198</v>
      </c>
      <c r="C12" s="7" t="s">
        <v>285</v>
      </c>
      <c r="D12" s="7" t="s">
        <v>273</v>
      </c>
      <c r="E12" s="18" t="n">
        <v>50275.68</v>
      </c>
      <c r="F12" s="24" t="str">
        <f aca="false">IF(E12&gt;=MUS_Parametros!$B$12,"SIM","NÃO")</f>
        <v>NÃO</v>
      </c>
      <c r="G12" s="18" t="n">
        <v>50275.68</v>
      </c>
      <c r="H12" s="21" t="n">
        <f aca="false">E12-G12</f>
        <v>0</v>
      </c>
      <c r="I12" s="25" t="n">
        <f aca="false">IF(F12="SIM","",H12/E12)</f>
        <v>0</v>
      </c>
    </row>
    <row r="13" customFormat="false" ht="15" hidden="false" customHeight="false" outlineLevel="0" collapsed="false">
      <c r="A13" s="7" t="s">
        <v>286</v>
      </c>
      <c r="B13" s="7" t="s">
        <v>198</v>
      </c>
      <c r="C13" s="7" t="s">
        <v>287</v>
      </c>
      <c r="D13" s="7" t="s">
        <v>273</v>
      </c>
      <c r="E13" s="18" t="n">
        <v>1993512.86</v>
      </c>
      <c r="F13" s="24" t="str">
        <f aca="false">IF(E13&gt;=MUS_Parametros!$B$12,"SIM","NÃO")</f>
        <v>NÃO</v>
      </c>
      <c r="G13" s="18" t="n">
        <v>1993512.86</v>
      </c>
      <c r="H13" s="21" t="n">
        <f aca="false">E13-G13</f>
        <v>0</v>
      </c>
      <c r="I13" s="25" t="n">
        <f aca="false">IF(F13="SIM","",H13/E13)</f>
        <v>0</v>
      </c>
    </row>
    <row r="14" customFormat="false" ht="15" hidden="false" customHeight="false" outlineLevel="0" collapsed="false">
      <c r="A14" s="7" t="s">
        <v>288</v>
      </c>
      <c r="B14" s="7" t="s">
        <v>198</v>
      </c>
      <c r="C14" s="7" t="s">
        <v>287</v>
      </c>
      <c r="D14" s="7" t="s">
        <v>273</v>
      </c>
      <c r="E14" s="18" t="n">
        <v>1268180.63</v>
      </c>
      <c r="F14" s="24" t="str">
        <f aca="false">IF(E14&gt;=MUS_Parametros!$B$12,"SIM","NÃO")</f>
        <v>NÃO</v>
      </c>
      <c r="G14" s="18" t="n">
        <v>1268180.63</v>
      </c>
      <c r="H14" s="21" t="n">
        <f aca="false">E14-G14</f>
        <v>0</v>
      </c>
      <c r="I14" s="25" t="n">
        <f aca="false">IF(F14="SIM","",H14/E14)</f>
        <v>0</v>
      </c>
    </row>
    <row r="15" customFormat="false" ht="15" hidden="false" customHeight="false" outlineLevel="0" collapsed="false">
      <c r="A15" s="7" t="s">
        <v>289</v>
      </c>
      <c r="B15" s="7" t="s">
        <v>196</v>
      </c>
      <c r="C15" s="7" t="s">
        <v>290</v>
      </c>
      <c r="D15" s="7" t="s">
        <v>273</v>
      </c>
      <c r="E15" s="18" t="n">
        <v>210000000</v>
      </c>
      <c r="F15" s="24" t="str">
        <f aca="false">IF(E15&gt;=MUS_Parametros!$B$12,"SIM","NÃO")</f>
        <v>SIM</v>
      </c>
      <c r="G15" s="18" t="n">
        <v>210000000</v>
      </c>
      <c r="H15" s="21" t="n">
        <f aca="false">E15-G15</f>
        <v>0</v>
      </c>
      <c r="I15" s="25" t="str">
        <f aca="false">IF(F15="SIM","",H15/E15)</f>
        <v/>
      </c>
    </row>
    <row r="16" customFormat="false" ht="15" hidden="false" customHeight="false" outlineLevel="0" collapsed="false">
      <c r="A16" s="7" t="s">
        <v>291</v>
      </c>
      <c r="B16" s="7" t="s">
        <v>198</v>
      </c>
      <c r="C16" s="7" t="s">
        <v>272</v>
      </c>
      <c r="D16" s="7" t="s">
        <v>273</v>
      </c>
      <c r="E16" s="18" t="n">
        <v>251567.62</v>
      </c>
      <c r="F16" s="24" t="str">
        <f aca="false">IF(E16&gt;=MUS_Parametros!$B$12,"SIM","NÃO")</f>
        <v>NÃO</v>
      </c>
      <c r="G16" s="18" t="n">
        <v>251567.62</v>
      </c>
      <c r="H16" s="21" t="n">
        <f aca="false">E16-G16</f>
        <v>0</v>
      </c>
      <c r="I16" s="25" t="n">
        <f aca="false">IF(F16="SIM","",H16/E16)</f>
        <v>0</v>
      </c>
    </row>
    <row r="17" customFormat="false" ht="15" hidden="false" customHeight="false" outlineLevel="0" collapsed="false">
      <c r="A17" s="7" t="s">
        <v>292</v>
      </c>
      <c r="B17" s="7" t="s">
        <v>198</v>
      </c>
      <c r="C17" s="7" t="s">
        <v>280</v>
      </c>
      <c r="D17" s="7" t="s">
        <v>273</v>
      </c>
      <c r="E17" s="18" t="n">
        <v>52415.23</v>
      </c>
      <c r="F17" s="24" t="str">
        <f aca="false">IF(E17&gt;=MUS_Parametros!$B$12,"SIM","NÃO")</f>
        <v>NÃO</v>
      </c>
      <c r="G17" s="18" t="n">
        <v>52415.23</v>
      </c>
      <c r="H17" s="21" t="n">
        <f aca="false">E17-G17</f>
        <v>0</v>
      </c>
      <c r="I17" s="25" t="n">
        <f aca="false">IF(F17="SIM","",H17/E17)</f>
        <v>0</v>
      </c>
    </row>
    <row r="18" customFormat="false" ht="15" hidden="false" customHeight="false" outlineLevel="0" collapsed="false">
      <c r="A18" s="7" t="s">
        <v>293</v>
      </c>
      <c r="B18" s="7" t="s">
        <v>198</v>
      </c>
      <c r="C18" s="7" t="s">
        <v>287</v>
      </c>
      <c r="D18" s="7" t="s">
        <v>273</v>
      </c>
      <c r="E18" s="18" t="n">
        <v>3155782.07</v>
      </c>
      <c r="F18" s="24" t="str">
        <f aca="false">IF(E18&gt;=MUS_Parametros!$B$12,"SIM","NÃO")</f>
        <v>NÃO</v>
      </c>
      <c r="G18" s="18" t="n">
        <v>3155782.07</v>
      </c>
      <c r="H18" s="21" t="n">
        <f aca="false">E18-G18</f>
        <v>0</v>
      </c>
      <c r="I18" s="25" t="n">
        <f aca="false">IF(F18="SIM","",H18/E18)</f>
        <v>0</v>
      </c>
    </row>
    <row r="19" customFormat="false" ht="15" hidden="false" customHeight="false" outlineLevel="0" collapsed="false">
      <c r="A19" s="7" t="s">
        <v>294</v>
      </c>
      <c r="B19" s="7" t="s">
        <v>200</v>
      </c>
      <c r="C19" s="7" t="s">
        <v>295</v>
      </c>
      <c r="D19" s="7" t="s">
        <v>273</v>
      </c>
      <c r="E19" s="18" t="n">
        <v>37972032.22</v>
      </c>
      <c r="F19" s="24" t="str">
        <f aca="false">IF(E19&gt;=MUS_Parametros!$B$12,"SIM","NÃO")</f>
        <v>SIM</v>
      </c>
      <c r="G19" s="18" t="n">
        <v>37972032.22</v>
      </c>
      <c r="H19" s="21" t="n">
        <f aca="false">E19-G19</f>
        <v>0</v>
      </c>
      <c r="I19" s="25" t="str">
        <f aca="false">IF(F19="SIM","",H19/E19)</f>
        <v/>
      </c>
    </row>
    <row r="20" customFormat="false" ht="15" hidden="false" customHeight="false" outlineLevel="0" collapsed="false">
      <c r="A20" s="7" t="s">
        <v>296</v>
      </c>
      <c r="B20" s="7" t="s">
        <v>198</v>
      </c>
      <c r="C20" s="7" t="s">
        <v>280</v>
      </c>
      <c r="D20" s="7" t="s">
        <v>273</v>
      </c>
      <c r="E20" s="18" t="n">
        <v>47489.5</v>
      </c>
      <c r="F20" s="24" t="str">
        <f aca="false">IF(E20&gt;=MUS_Parametros!$B$12,"SIM","NÃO")</f>
        <v>NÃO</v>
      </c>
      <c r="G20" s="18" t="n">
        <v>47489.5</v>
      </c>
      <c r="H20" s="21" t="n">
        <f aca="false">E20-G20</f>
        <v>0</v>
      </c>
      <c r="I20" s="25" t="n">
        <f aca="false">IF(F20="SIM","",H20/E20)</f>
        <v>0</v>
      </c>
    </row>
    <row r="21" customFormat="false" ht="15" hidden="false" customHeight="false" outlineLevel="0" collapsed="false">
      <c r="A21" s="7" t="s">
        <v>297</v>
      </c>
      <c r="B21" s="7" t="s">
        <v>198</v>
      </c>
      <c r="C21" s="7" t="s">
        <v>280</v>
      </c>
      <c r="D21" s="7" t="s">
        <v>273</v>
      </c>
      <c r="E21" s="18" t="n">
        <v>87040.95</v>
      </c>
      <c r="F21" s="24" t="str">
        <f aca="false">IF(E21&gt;=MUS_Parametros!$B$12,"SIM","NÃO")</f>
        <v>NÃO</v>
      </c>
      <c r="G21" s="18" t="n">
        <v>87040.95</v>
      </c>
      <c r="H21" s="21" t="n">
        <f aca="false">E21-G21</f>
        <v>0</v>
      </c>
      <c r="I21" s="25" t="n">
        <f aca="false">IF(F21="SIM","",H21/E21)</f>
        <v>0</v>
      </c>
    </row>
    <row r="22" customFormat="false" ht="15" hidden="false" customHeight="false" outlineLevel="0" collapsed="false">
      <c r="A22" s="7" t="s">
        <v>298</v>
      </c>
      <c r="B22" s="7" t="s">
        <v>198</v>
      </c>
      <c r="C22" s="7" t="s">
        <v>272</v>
      </c>
      <c r="D22" s="7" t="s">
        <v>273</v>
      </c>
      <c r="E22" s="18" t="n">
        <v>4973174.68</v>
      </c>
      <c r="F22" s="24" t="str">
        <f aca="false">IF(E22&gt;=MUS_Parametros!$B$12,"SIM","NÃO")</f>
        <v>NÃO</v>
      </c>
      <c r="G22" s="18" t="n">
        <v>4973174.68</v>
      </c>
      <c r="H22" s="21" t="n">
        <f aca="false">E22-G22</f>
        <v>0</v>
      </c>
      <c r="I22" s="25" t="n">
        <f aca="false">IF(F22="SIM","",H22/E22)</f>
        <v>0</v>
      </c>
    </row>
    <row r="23" customFormat="false" ht="15" hidden="false" customHeight="false" outlineLevel="0" collapsed="false">
      <c r="A23" s="7" t="s">
        <v>299</v>
      </c>
      <c r="B23" s="7" t="s">
        <v>198</v>
      </c>
      <c r="C23" s="7" t="s">
        <v>280</v>
      </c>
      <c r="D23" s="7" t="s">
        <v>273</v>
      </c>
      <c r="E23" s="18" t="n">
        <v>23315.64</v>
      </c>
      <c r="F23" s="24" t="str">
        <f aca="false">IF(E23&gt;=MUS_Parametros!$B$12,"SIM","NÃO")</f>
        <v>NÃO</v>
      </c>
      <c r="G23" s="18" t="n">
        <v>23315.64</v>
      </c>
      <c r="H23" s="21" t="n">
        <f aca="false">E23-G23</f>
        <v>0</v>
      </c>
      <c r="I23" s="25" t="n">
        <f aca="false">IF(F23="SIM","",H23/E23)</f>
        <v>0</v>
      </c>
    </row>
    <row r="24" customFormat="false" ht="15" hidden="false" customHeight="false" outlineLevel="0" collapsed="false">
      <c r="A24" s="7" t="s">
        <v>300</v>
      </c>
      <c r="B24" s="7" t="s">
        <v>198</v>
      </c>
      <c r="C24" s="7" t="s">
        <v>280</v>
      </c>
      <c r="D24" s="7" t="s">
        <v>273</v>
      </c>
      <c r="E24" s="18" t="n">
        <v>90310.09</v>
      </c>
      <c r="F24" s="24" t="str">
        <f aca="false">IF(E24&gt;=MUS_Parametros!$B$12,"SIM","NÃO")</f>
        <v>NÃO</v>
      </c>
      <c r="G24" s="18" t="n">
        <v>90310.09</v>
      </c>
      <c r="H24" s="21" t="n">
        <f aca="false">E24-G24</f>
        <v>0</v>
      </c>
      <c r="I24" s="25" t="n">
        <f aca="false">IF(F24="SIM","",H24/E24)</f>
        <v>0</v>
      </c>
    </row>
    <row r="25" customFormat="false" ht="15" hidden="false" customHeight="false" outlineLevel="0" collapsed="false">
      <c r="A25" s="7" t="s">
        <v>301</v>
      </c>
      <c r="B25" s="7" t="s">
        <v>198</v>
      </c>
      <c r="C25" s="7" t="s">
        <v>272</v>
      </c>
      <c r="D25" s="7" t="s">
        <v>273</v>
      </c>
      <c r="E25" s="18" t="n">
        <v>2011527.41</v>
      </c>
      <c r="F25" s="24" t="str">
        <f aca="false">IF(E25&gt;=MUS_Parametros!$B$12,"SIM","NÃO")</f>
        <v>NÃO</v>
      </c>
      <c r="G25" s="18" t="n">
        <v>2011527.41</v>
      </c>
      <c r="H25" s="21" t="n">
        <f aca="false">E25-G25</f>
        <v>0</v>
      </c>
      <c r="I25" s="25" t="n">
        <f aca="false">IF(F25="SIM","",H25/E25)</f>
        <v>0</v>
      </c>
    </row>
    <row r="26" customFormat="false" ht="15" hidden="false" customHeight="false" outlineLevel="0" collapsed="false">
      <c r="A26" s="7" t="s">
        <v>302</v>
      </c>
      <c r="B26" s="7" t="s">
        <v>198</v>
      </c>
      <c r="C26" s="7" t="s">
        <v>280</v>
      </c>
      <c r="D26" s="7" t="s">
        <v>273</v>
      </c>
      <c r="E26" s="18" t="n">
        <v>41411.17</v>
      </c>
      <c r="F26" s="24" t="str">
        <f aca="false">IF(E26&gt;=MUS_Parametros!$B$12,"SIM","NÃO")</f>
        <v>NÃO</v>
      </c>
      <c r="G26" s="18" t="n">
        <v>41411.17</v>
      </c>
      <c r="H26" s="21" t="n">
        <f aca="false">E26-G26</f>
        <v>0</v>
      </c>
      <c r="I26" s="25" t="n">
        <f aca="false">IF(F26="SIM","",H26/E26)</f>
        <v>0</v>
      </c>
    </row>
    <row r="27" customFormat="false" ht="15" hidden="false" customHeight="false" outlineLevel="0" collapsed="false">
      <c r="A27" s="7" t="s">
        <v>303</v>
      </c>
      <c r="B27" s="7" t="s">
        <v>200</v>
      </c>
      <c r="C27" s="7" t="s">
        <v>304</v>
      </c>
      <c r="D27" s="7" t="s">
        <v>273</v>
      </c>
      <c r="E27" s="18" t="n">
        <v>26390122.74</v>
      </c>
      <c r="F27" s="24" t="str">
        <f aca="false">IF(E27&gt;=MUS_Parametros!$B$12,"SIM","NÃO")</f>
        <v>NÃO</v>
      </c>
      <c r="G27" s="18" t="n">
        <v>26390122.74</v>
      </c>
      <c r="H27" s="21" t="n">
        <f aca="false">E27-G27</f>
        <v>0</v>
      </c>
      <c r="I27" s="25" t="n">
        <f aca="false">IF(F27="SIM","",H27/E27)</f>
        <v>0</v>
      </c>
    </row>
    <row r="28" customFormat="false" ht="15" hidden="false" customHeight="false" outlineLevel="0" collapsed="false">
      <c r="A28" s="7" t="s">
        <v>305</v>
      </c>
      <c r="B28" s="7" t="s">
        <v>198</v>
      </c>
      <c r="C28" s="7" t="s">
        <v>285</v>
      </c>
      <c r="D28" s="7" t="s">
        <v>273</v>
      </c>
      <c r="E28" s="18" t="n">
        <v>27911.7</v>
      </c>
      <c r="F28" s="24" t="str">
        <f aca="false">IF(E28&gt;=MUS_Parametros!$B$12,"SIM","NÃO")</f>
        <v>NÃO</v>
      </c>
      <c r="G28" s="18" t="n">
        <v>27911.7</v>
      </c>
      <c r="H28" s="21" t="n">
        <f aca="false">E28-G28</f>
        <v>0</v>
      </c>
      <c r="I28" s="25" t="n">
        <f aca="false">IF(F28="SIM","",H28/E28)</f>
        <v>0</v>
      </c>
    </row>
    <row r="29" customFormat="false" ht="15" hidden="false" customHeight="false" outlineLevel="0" collapsed="false">
      <c r="A29" s="7" t="s">
        <v>306</v>
      </c>
      <c r="B29" s="7" t="s">
        <v>198</v>
      </c>
      <c r="C29" s="7" t="s">
        <v>272</v>
      </c>
      <c r="D29" s="7" t="s">
        <v>273</v>
      </c>
      <c r="E29" s="18" t="n">
        <v>682750.05</v>
      </c>
      <c r="F29" s="24" t="str">
        <f aca="false">IF(E29&gt;=MUS_Parametros!$B$12,"SIM","NÃO")</f>
        <v>NÃO</v>
      </c>
      <c r="G29" s="18" t="n">
        <v>682750.05</v>
      </c>
      <c r="H29" s="21" t="n">
        <f aca="false">E29-G29</f>
        <v>0</v>
      </c>
      <c r="I29" s="25" t="n">
        <f aca="false">IF(F29="SIM","",H29/E29)</f>
        <v>0</v>
      </c>
    </row>
    <row r="30" customFormat="false" ht="15" hidden="false" customHeight="false" outlineLevel="0" collapsed="false">
      <c r="A30" s="7" t="s">
        <v>307</v>
      </c>
      <c r="B30" s="7" t="s">
        <v>198</v>
      </c>
      <c r="C30" s="7" t="s">
        <v>272</v>
      </c>
      <c r="D30" s="7" t="s">
        <v>273</v>
      </c>
      <c r="E30" s="18" t="n">
        <v>1464296.8</v>
      </c>
      <c r="F30" s="24" t="str">
        <f aca="false">IF(E30&gt;=MUS_Parametros!$B$12,"SIM","NÃO")</f>
        <v>NÃO</v>
      </c>
      <c r="G30" s="18" t="n">
        <v>1464296.8</v>
      </c>
      <c r="H30" s="21" t="n">
        <f aca="false">E30-G30</f>
        <v>0</v>
      </c>
      <c r="I30" s="25" t="n">
        <f aca="false">IF(F30="SIM","",H30/E30)</f>
        <v>0</v>
      </c>
    </row>
    <row r="31" customFormat="false" ht="15" hidden="false" customHeight="false" outlineLevel="0" collapsed="false">
      <c r="A31" s="7" t="s">
        <v>308</v>
      </c>
      <c r="B31" s="7" t="s">
        <v>200</v>
      </c>
      <c r="C31" s="7" t="s">
        <v>309</v>
      </c>
      <c r="D31" s="7" t="s">
        <v>273</v>
      </c>
      <c r="E31" s="18" t="n">
        <v>23418995.17</v>
      </c>
      <c r="F31" s="24" t="str">
        <f aca="false">IF(E31&gt;=MUS_Parametros!$B$12,"SIM","NÃO")</f>
        <v>NÃO</v>
      </c>
      <c r="G31" s="18" t="n">
        <v>23418995.17</v>
      </c>
      <c r="H31" s="21" t="n">
        <f aca="false">E31-G31</f>
        <v>0</v>
      </c>
      <c r="I31" s="25" t="n">
        <f aca="false">IF(F31="SIM","",H31/E31)</f>
        <v>0</v>
      </c>
    </row>
    <row r="32" customFormat="false" ht="15" hidden="false" customHeight="false" outlineLevel="0" collapsed="false">
      <c r="A32" s="7" t="s">
        <v>310</v>
      </c>
      <c r="B32" s="7" t="s">
        <v>198</v>
      </c>
      <c r="C32" s="7" t="s">
        <v>285</v>
      </c>
      <c r="D32" s="7" t="s">
        <v>273</v>
      </c>
      <c r="E32" s="18" t="n">
        <v>6536.54</v>
      </c>
      <c r="F32" s="24" t="str">
        <f aca="false">IF(E32&gt;=MUS_Parametros!$B$12,"SIM","NÃO")</f>
        <v>NÃO</v>
      </c>
      <c r="G32" s="18" t="n">
        <v>6536.54</v>
      </c>
      <c r="H32" s="21" t="n">
        <f aca="false">E32-G32</f>
        <v>0</v>
      </c>
      <c r="I32" s="25" t="n">
        <f aca="false">IF(F32="SIM","",H32/E32)</f>
        <v>0</v>
      </c>
    </row>
    <row r="33" customFormat="false" ht="15" hidden="false" customHeight="false" outlineLevel="0" collapsed="false">
      <c r="A33" s="7" t="s">
        <v>311</v>
      </c>
      <c r="B33" s="7" t="s">
        <v>198</v>
      </c>
      <c r="C33" s="7" t="s">
        <v>272</v>
      </c>
      <c r="D33" s="7" t="s">
        <v>273</v>
      </c>
      <c r="E33" s="18" t="n">
        <v>474814.18</v>
      </c>
      <c r="F33" s="24" t="str">
        <f aca="false">IF(E33&gt;=MUS_Parametros!$B$12,"SIM","NÃO")</f>
        <v>NÃO</v>
      </c>
      <c r="G33" s="18" t="n">
        <v>474814.18</v>
      </c>
      <c r="H33" s="21" t="n">
        <f aca="false">E33-G33</f>
        <v>0</v>
      </c>
      <c r="I33" s="25" t="n">
        <f aca="false">IF(F33="SIM","",H33/E33)</f>
        <v>0</v>
      </c>
    </row>
    <row r="34" customFormat="false" ht="15" hidden="false" customHeight="false" outlineLevel="0" collapsed="false">
      <c r="A34" s="7" t="s">
        <v>312</v>
      </c>
      <c r="B34" s="7" t="s">
        <v>198</v>
      </c>
      <c r="C34" s="7" t="s">
        <v>287</v>
      </c>
      <c r="D34" s="7" t="s">
        <v>273</v>
      </c>
      <c r="E34" s="18" t="n">
        <v>2895841.53</v>
      </c>
      <c r="F34" s="24" t="str">
        <f aca="false">IF(E34&gt;=MUS_Parametros!$B$12,"SIM","NÃO")</f>
        <v>NÃO</v>
      </c>
      <c r="G34" s="18" t="n">
        <v>2895841.53</v>
      </c>
      <c r="H34" s="21" t="n">
        <f aca="false">E34-G34</f>
        <v>0</v>
      </c>
      <c r="I34" s="25" t="n">
        <f aca="false">IF(F34="SIM","",H34/E34)</f>
        <v>0</v>
      </c>
    </row>
    <row r="35" customFormat="false" ht="15" hidden="false" customHeight="false" outlineLevel="0" collapsed="false">
      <c r="A35" s="7" t="s">
        <v>313</v>
      </c>
      <c r="B35" s="7" t="s">
        <v>194</v>
      </c>
      <c r="C35" s="7" t="s">
        <v>314</v>
      </c>
      <c r="D35" s="7" t="s">
        <v>273</v>
      </c>
      <c r="E35" s="18" t="n">
        <v>1124270400</v>
      </c>
      <c r="F35" s="24" t="str">
        <f aca="false">IF(E35&gt;=MUS_Parametros!$B$12,"SIM","NÃO")</f>
        <v>SIM</v>
      </c>
      <c r="G35" s="18" t="n">
        <v>1124270400</v>
      </c>
      <c r="H35" s="21" t="n">
        <f aca="false">E35-G35</f>
        <v>0</v>
      </c>
      <c r="I35" s="25" t="str">
        <f aca="false">IF(F35="SIM","",H35/E35)</f>
        <v/>
      </c>
    </row>
    <row r="36" customFormat="false" ht="15" hidden="false" customHeight="false" outlineLevel="0" collapsed="false">
      <c r="A36" s="7" t="s">
        <v>315</v>
      </c>
      <c r="B36" s="7" t="s">
        <v>198</v>
      </c>
      <c r="C36" s="7" t="s">
        <v>272</v>
      </c>
      <c r="D36" s="7" t="s">
        <v>273</v>
      </c>
      <c r="E36" s="18" t="n">
        <v>1082317.87</v>
      </c>
      <c r="F36" s="24" t="str">
        <f aca="false">IF(E36&gt;=MUS_Parametros!$B$12,"SIM","NÃO")</f>
        <v>NÃO</v>
      </c>
      <c r="G36" s="18" t="n">
        <v>1082317.87</v>
      </c>
      <c r="H36" s="21" t="n">
        <f aca="false">E36-G36</f>
        <v>0</v>
      </c>
      <c r="I36" s="25" t="n">
        <f aca="false">IF(F36="SIM","",H36/E36)</f>
        <v>0</v>
      </c>
    </row>
    <row r="37" customFormat="false" ht="15" hidden="false" customHeight="false" outlineLevel="0" collapsed="false">
      <c r="A37" s="7" t="s">
        <v>316</v>
      </c>
      <c r="B37" s="7" t="s">
        <v>198</v>
      </c>
      <c r="C37" s="7" t="s">
        <v>287</v>
      </c>
      <c r="D37" s="7" t="s">
        <v>273</v>
      </c>
      <c r="E37" s="18" t="n">
        <v>488871.89</v>
      </c>
      <c r="F37" s="24" t="str">
        <f aca="false">IF(E37&gt;=MUS_Parametros!$B$12,"SIM","NÃO")</f>
        <v>NÃO</v>
      </c>
      <c r="G37" s="18" t="n">
        <v>488871.89</v>
      </c>
      <c r="H37" s="21" t="n">
        <f aca="false">E37-G37</f>
        <v>0</v>
      </c>
      <c r="I37" s="25" t="n">
        <f aca="false">IF(F37="SIM","",H37/E37)</f>
        <v>0</v>
      </c>
    </row>
    <row r="38" customFormat="false" ht="15" hidden="false" customHeight="false" outlineLevel="0" collapsed="false">
      <c r="A38" s="7" t="s">
        <v>317</v>
      </c>
      <c r="B38" s="7" t="s">
        <v>198</v>
      </c>
      <c r="C38" s="7" t="s">
        <v>272</v>
      </c>
      <c r="D38" s="7" t="s">
        <v>273</v>
      </c>
      <c r="E38" s="18" t="n">
        <v>978271.23</v>
      </c>
      <c r="F38" s="24" t="str">
        <f aca="false">IF(E38&gt;=MUS_Parametros!$B$12,"SIM","NÃO")</f>
        <v>NÃO</v>
      </c>
      <c r="G38" s="18" t="n">
        <v>978271.23</v>
      </c>
      <c r="H38" s="21" t="n">
        <f aca="false">E38-G38</f>
        <v>0</v>
      </c>
      <c r="I38" s="25" t="n">
        <f aca="false">IF(F38="SIM","",H38/E38)</f>
        <v>0</v>
      </c>
    </row>
    <row r="39" customFormat="false" ht="15" hidden="false" customHeight="false" outlineLevel="0" collapsed="false">
      <c r="A39" s="7" t="s">
        <v>318</v>
      </c>
      <c r="B39" s="7" t="s">
        <v>198</v>
      </c>
      <c r="C39" s="7" t="s">
        <v>272</v>
      </c>
      <c r="D39" s="7" t="s">
        <v>273</v>
      </c>
      <c r="E39" s="18" t="n">
        <v>2254291.53</v>
      </c>
      <c r="F39" s="24" t="str">
        <f aca="false">IF(E39&gt;=MUS_Parametros!$B$12,"SIM","NÃO")</f>
        <v>NÃO</v>
      </c>
      <c r="G39" s="18" t="n">
        <v>2254291.53</v>
      </c>
      <c r="H39" s="21" t="n">
        <f aca="false">E39-G39</f>
        <v>0</v>
      </c>
      <c r="I39" s="25" t="n">
        <f aca="false">IF(F39="SIM","",H39/E39)</f>
        <v>0</v>
      </c>
    </row>
    <row r="40" customFormat="false" ht="15" hidden="false" customHeight="false" outlineLevel="0" collapsed="false">
      <c r="A40" s="7" t="s">
        <v>319</v>
      </c>
      <c r="B40" s="7" t="s">
        <v>198</v>
      </c>
      <c r="C40" s="7" t="s">
        <v>280</v>
      </c>
      <c r="D40" s="7" t="s">
        <v>273</v>
      </c>
      <c r="E40" s="18" t="n">
        <v>104570.64</v>
      </c>
      <c r="F40" s="24" t="str">
        <f aca="false">IF(E40&gt;=MUS_Parametros!$B$12,"SIM","NÃO")</f>
        <v>NÃO</v>
      </c>
      <c r="G40" s="18" t="n">
        <v>104570.64</v>
      </c>
      <c r="H40" s="21" t="n">
        <f aca="false">E40-G40</f>
        <v>0</v>
      </c>
      <c r="I40" s="25" t="n">
        <f aca="false">IF(F40="SIM","",H40/E40)</f>
        <v>0</v>
      </c>
    </row>
    <row r="41" customFormat="false" ht="15" hidden="false" customHeight="false" outlineLevel="0" collapsed="false">
      <c r="A41" s="7" t="s">
        <v>320</v>
      </c>
      <c r="B41" s="7" t="s">
        <v>198</v>
      </c>
      <c r="C41" s="7" t="s">
        <v>287</v>
      </c>
      <c r="D41" s="7" t="s">
        <v>273</v>
      </c>
      <c r="E41" s="18" t="n">
        <v>692219.36</v>
      </c>
      <c r="F41" s="24" t="str">
        <f aca="false">IF(E41&gt;=MUS_Parametros!$B$12,"SIM","NÃO")</f>
        <v>NÃO</v>
      </c>
      <c r="G41" s="18" t="n">
        <v>692219.36</v>
      </c>
      <c r="H41" s="21" t="n">
        <f aca="false">E41-G41</f>
        <v>0</v>
      </c>
      <c r="I41" s="25" t="n">
        <f aca="false">IF(F41="SIM","",H41/E41)</f>
        <v>0</v>
      </c>
    </row>
    <row r="42" customFormat="false" ht="15" hidden="false" customHeight="false" outlineLevel="0" collapsed="false">
      <c r="A42" s="7" t="s">
        <v>321</v>
      </c>
      <c r="B42" s="7" t="s">
        <v>200</v>
      </c>
      <c r="C42" s="7" t="s">
        <v>322</v>
      </c>
      <c r="D42" s="7" t="s">
        <v>273</v>
      </c>
      <c r="E42" s="18" t="n">
        <v>23560657.07</v>
      </c>
      <c r="F42" s="24" t="str">
        <f aca="false">IF(E42&gt;=MUS_Parametros!$B$12,"SIM","NÃO")</f>
        <v>NÃO</v>
      </c>
      <c r="G42" s="18" t="n">
        <v>23560657.07</v>
      </c>
      <c r="H42" s="21" t="n">
        <f aca="false">E42-G42</f>
        <v>0</v>
      </c>
      <c r="I42" s="25" t="n">
        <f aca="false">IF(F42="SIM","",H42/E42)</f>
        <v>0</v>
      </c>
    </row>
    <row r="43" customFormat="false" ht="15" hidden="false" customHeight="false" outlineLevel="0" collapsed="false">
      <c r="A43" s="7" t="s">
        <v>323</v>
      </c>
      <c r="B43" s="7" t="s">
        <v>200</v>
      </c>
      <c r="C43" s="7" t="s">
        <v>324</v>
      </c>
      <c r="D43" s="7" t="s">
        <v>273</v>
      </c>
      <c r="E43" s="18" t="n">
        <v>50523375.54</v>
      </c>
      <c r="F43" s="24" t="str">
        <f aca="false">IF(E43&gt;=MUS_Parametros!$B$12,"SIM","NÃO")</f>
        <v>SIM</v>
      </c>
      <c r="G43" s="18" t="n">
        <v>50523375.54</v>
      </c>
      <c r="H43" s="21" t="n">
        <f aca="false">E43-G43</f>
        <v>0</v>
      </c>
      <c r="I43" s="25" t="str">
        <f aca="false">IF(F43="SIM","",H43/E43)</f>
        <v/>
      </c>
    </row>
    <row r="44" customFormat="false" ht="15" hidden="false" customHeight="false" outlineLevel="0" collapsed="false">
      <c r="A44" s="7" t="s">
        <v>325</v>
      </c>
      <c r="B44" s="7" t="s">
        <v>198</v>
      </c>
      <c r="C44" s="7" t="s">
        <v>287</v>
      </c>
      <c r="D44" s="7" t="s">
        <v>273</v>
      </c>
      <c r="E44" s="18" t="n">
        <v>1111463.4</v>
      </c>
      <c r="F44" s="24" t="str">
        <f aca="false">IF(E44&gt;=MUS_Parametros!$B$12,"SIM","NÃO")</f>
        <v>NÃO</v>
      </c>
      <c r="G44" s="18" t="n">
        <v>1111463.4</v>
      </c>
      <c r="H44" s="21" t="n">
        <f aca="false">E44-G44</f>
        <v>0</v>
      </c>
      <c r="I44" s="25" t="n">
        <f aca="false">IF(F44="SIM","",H44/E44)</f>
        <v>0</v>
      </c>
    </row>
    <row r="45" customFormat="false" ht="15" hidden="false" customHeight="false" outlineLevel="0" collapsed="false">
      <c r="A45" s="7" t="s">
        <v>326</v>
      </c>
      <c r="B45" s="7" t="s">
        <v>198</v>
      </c>
      <c r="C45" s="7" t="s">
        <v>287</v>
      </c>
      <c r="D45" s="7" t="s">
        <v>273</v>
      </c>
      <c r="E45" s="18" t="n">
        <v>3115671.36</v>
      </c>
      <c r="F45" s="24" t="str">
        <f aca="false">IF(E45&gt;=MUS_Parametros!$B$12,"SIM","NÃO")</f>
        <v>NÃO</v>
      </c>
      <c r="G45" s="18" t="n">
        <v>3115671.36</v>
      </c>
      <c r="H45" s="21" t="n">
        <f aca="false">E45-G45</f>
        <v>0</v>
      </c>
      <c r="I45" s="25" t="n">
        <f aca="false">IF(F45="SIM","",H45/E45)</f>
        <v>0</v>
      </c>
    </row>
    <row r="46" customFormat="false" ht="15" hidden="false" customHeight="false" outlineLevel="0" collapsed="false">
      <c r="A46" s="7" t="s">
        <v>327</v>
      </c>
      <c r="B46" s="7" t="s">
        <v>198</v>
      </c>
      <c r="C46" s="7" t="s">
        <v>287</v>
      </c>
      <c r="D46" s="7" t="s">
        <v>273</v>
      </c>
      <c r="E46" s="18" t="n">
        <v>1504345.63</v>
      </c>
      <c r="F46" s="24" t="str">
        <f aca="false">IF(E46&gt;=MUS_Parametros!$B$12,"SIM","NÃO")</f>
        <v>NÃO</v>
      </c>
      <c r="G46" s="18" t="n">
        <v>1504345.63</v>
      </c>
      <c r="H46" s="21" t="n">
        <f aca="false">E46-G46</f>
        <v>0</v>
      </c>
      <c r="I46" s="25" t="n">
        <f aca="false">IF(F46="SIM","",H46/E46)</f>
        <v>0</v>
      </c>
    </row>
    <row r="47" customFormat="false" ht="15" hidden="false" customHeight="false" outlineLevel="0" collapsed="false">
      <c r="A47" s="7" t="s">
        <v>328</v>
      </c>
      <c r="B47" s="7" t="s">
        <v>198</v>
      </c>
      <c r="C47" s="7" t="s">
        <v>272</v>
      </c>
      <c r="D47" s="7" t="s">
        <v>273</v>
      </c>
      <c r="E47" s="18" t="n">
        <v>4249384.85</v>
      </c>
      <c r="F47" s="24" t="str">
        <f aca="false">IF(E47&gt;=MUS_Parametros!$B$12,"SIM","NÃO")</f>
        <v>NÃO</v>
      </c>
      <c r="G47" s="18" t="n">
        <v>4249384.85</v>
      </c>
      <c r="H47" s="21" t="n">
        <f aca="false">E47-G47</f>
        <v>0</v>
      </c>
      <c r="I47" s="25" t="n">
        <f aca="false">IF(F47="SIM","",H47/E47)</f>
        <v>0</v>
      </c>
    </row>
    <row r="48" customFormat="false" ht="15" hidden="false" customHeight="false" outlineLevel="0" collapsed="false">
      <c r="A48" s="7" t="s">
        <v>329</v>
      </c>
      <c r="B48" s="7" t="s">
        <v>198</v>
      </c>
      <c r="C48" s="7" t="s">
        <v>330</v>
      </c>
      <c r="D48" s="7" t="s">
        <v>273</v>
      </c>
      <c r="E48" s="18" t="n">
        <v>11137.23</v>
      </c>
      <c r="F48" s="24" t="str">
        <f aca="false">IF(E48&gt;=MUS_Parametros!$B$12,"SIM","NÃO")</f>
        <v>NÃO</v>
      </c>
      <c r="G48" s="18" t="n">
        <v>11137.23</v>
      </c>
      <c r="H48" s="21" t="n">
        <f aca="false">E48-G48</f>
        <v>0</v>
      </c>
      <c r="I48" s="25" t="n">
        <f aca="false">IF(F48="SIM","",H48/E48)</f>
        <v>0</v>
      </c>
    </row>
    <row r="49" customFormat="false" ht="15" hidden="false" customHeight="false" outlineLevel="0" collapsed="false">
      <c r="A49" s="7" t="s">
        <v>331</v>
      </c>
      <c r="B49" s="7" t="s">
        <v>198</v>
      </c>
      <c r="C49" s="7" t="s">
        <v>287</v>
      </c>
      <c r="D49" s="7" t="s">
        <v>273</v>
      </c>
      <c r="E49" s="18" t="n">
        <v>967478.03</v>
      </c>
      <c r="F49" s="24" t="str">
        <f aca="false">IF(E49&gt;=MUS_Parametros!$B$12,"SIM","NÃO")</f>
        <v>NÃO</v>
      </c>
      <c r="G49" s="18" t="n">
        <v>967478.03</v>
      </c>
      <c r="H49" s="21" t="n">
        <f aca="false">E49-G49</f>
        <v>0</v>
      </c>
      <c r="I49" s="25" t="n">
        <f aca="false">IF(F49="SIM","",H49/E49)</f>
        <v>0</v>
      </c>
    </row>
    <row r="50" customFormat="false" ht="15" hidden="false" customHeight="false" outlineLevel="0" collapsed="false">
      <c r="A50" s="7" t="s">
        <v>332</v>
      </c>
      <c r="B50" s="7" t="s">
        <v>198</v>
      </c>
      <c r="C50" s="7" t="s">
        <v>272</v>
      </c>
      <c r="D50" s="7" t="s">
        <v>273</v>
      </c>
      <c r="E50" s="18" t="n">
        <v>3736455.67</v>
      </c>
      <c r="F50" s="24" t="str">
        <f aca="false">IF(E50&gt;=MUS_Parametros!$B$12,"SIM","NÃO")</f>
        <v>NÃO</v>
      </c>
      <c r="G50" s="18" t="n">
        <v>3736455.67</v>
      </c>
      <c r="H50" s="21" t="n">
        <f aca="false">E50-G50</f>
        <v>0</v>
      </c>
      <c r="I50" s="25" t="n">
        <f aca="false">IF(F50="SIM","",H50/E50)</f>
        <v>0</v>
      </c>
    </row>
    <row r="51" customFormat="false" ht="15" hidden="false" customHeight="false" outlineLevel="0" collapsed="false">
      <c r="A51" s="7" t="s">
        <v>333</v>
      </c>
      <c r="B51" s="7" t="s">
        <v>198</v>
      </c>
      <c r="C51" s="7" t="s">
        <v>280</v>
      </c>
      <c r="D51" s="7" t="s">
        <v>273</v>
      </c>
      <c r="E51" s="18" t="n">
        <v>65608.65</v>
      </c>
      <c r="F51" s="24" t="str">
        <f aca="false">IF(E51&gt;=MUS_Parametros!$B$12,"SIM","NÃO")</f>
        <v>NÃO</v>
      </c>
      <c r="G51" s="18" t="n">
        <v>65608.65</v>
      </c>
      <c r="H51" s="21" t="n">
        <f aca="false">E51-G51</f>
        <v>0</v>
      </c>
      <c r="I51" s="25" t="n">
        <f aca="false">IF(F51="SIM","",H51/E51)</f>
        <v>0</v>
      </c>
    </row>
    <row r="52" customFormat="false" ht="15" hidden="false" customHeight="false" outlineLevel="0" collapsed="false">
      <c r="A52" s="7" t="s">
        <v>334</v>
      </c>
      <c r="B52" s="7" t="s">
        <v>198</v>
      </c>
      <c r="C52" s="7" t="s">
        <v>287</v>
      </c>
      <c r="D52" s="7" t="s">
        <v>273</v>
      </c>
      <c r="E52" s="18" t="n">
        <v>1681175.51</v>
      </c>
      <c r="F52" s="24" t="str">
        <f aca="false">IF(E52&gt;=MUS_Parametros!$B$12,"SIM","NÃO")</f>
        <v>NÃO</v>
      </c>
      <c r="G52" s="18" t="n">
        <v>1681175.51</v>
      </c>
      <c r="H52" s="21" t="n">
        <f aca="false">E52-G52</f>
        <v>0</v>
      </c>
      <c r="I52" s="25" t="n">
        <f aca="false">IF(F52="SIM","",H52/E52)</f>
        <v>0</v>
      </c>
    </row>
    <row r="53" customFormat="false" ht="15" hidden="false" customHeight="false" outlineLevel="0" collapsed="false">
      <c r="A53" s="7" t="s">
        <v>335</v>
      </c>
      <c r="B53" s="7" t="s">
        <v>198</v>
      </c>
      <c r="C53" s="7" t="s">
        <v>272</v>
      </c>
      <c r="D53" s="7" t="s">
        <v>273</v>
      </c>
      <c r="E53" s="18" t="n">
        <v>3299350.35</v>
      </c>
      <c r="F53" s="24" t="str">
        <f aca="false">IF(E53&gt;=MUS_Parametros!$B$12,"SIM","NÃO")</f>
        <v>NÃO</v>
      </c>
      <c r="G53" s="18" t="n">
        <v>3299350.35</v>
      </c>
      <c r="H53" s="21" t="n">
        <f aca="false">E53-G53</f>
        <v>0</v>
      </c>
      <c r="I53" s="25" t="n">
        <f aca="false">IF(F53="SIM","",H53/E53)</f>
        <v>0</v>
      </c>
    </row>
    <row r="54" customFormat="false" ht="15" hidden="false" customHeight="false" outlineLevel="0" collapsed="false">
      <c r="A54" s="7" t="s">
        <v>336</v>
      </c>
      <c r="B54" s="7" t="s">
        <v>198</v>
      </c>
      <c r="C54" s="7" t="s">
        <v>280</v>
      </c>
      <c r="D54" s="7" t="s">
        <v>273</v>
      </c>
      <c r="E54" s="18" t="n">
        <v>85931.15</v>
      </c>
      <c r="F54" s="24" t="str">
        <f aca="false">IF(E54&gt;=MUS_Parametros!$B$12,"SIM","NÃO")</f>
        <v>NÃO</v>
      </c>
      <c r="G54" s="18" t="n">
        <v>85931.15</v>
      </c>
      <c r="H54" s="21" t="n">
        <f aca="false">E54-G54</f>
        <v>0</v>
      </c>
      <c r="I54" s="25" t="n">
        <f aca="false">IF(F54="SIM","",H54/E54)</f>
        <v>0</v>
      </c>
    </row>
    <row r="55" customFormat="false" ht="15" hidden="false" customHeight="false" outlineLevel="0" collapsed="false">
      <c r="A55" s="7" t="s">
        <v>337</v>
      </c>
      <c r="B55" s="7" t="s">
        <v>198</v>
      </c>
      <c r="C55" s="7" t="s">
        <v>272</v>
      </c>
      <c r="D55" s="7" t="s">
        <v>273</v>
      </c>
      <c r="E55" s="18" t="n">
        <v>7037285.12</v>
      </c>
      <c r="F55" s="24" t="str">
        <f aca="false">IF(E55&gt;=MUS_Parametros!$B$12,"SIM","NÃO")</f>
        <v>NÃO</v>
      </c>
      <c r="G55" s="18" t="n">
        <v>7037285.12</v>
      </c>
      <c r="H55" s="21" t="n">
        <f aca="false">E55-G55</f>
        <v>0</v>
      </c>
      <c r="I55" s="25" t="n">
        <f aca="false">IF(F55="SIM","",H55/E55)</f>
        <v>0</v>
      </c>
    </row>
    <row r="56" customFormat="false" ht="15" hidden="false" customHeight="false" outlineLevel="0" collapsed="false">
      <c r="A56" s="7" t="s">
        <v>338</v>
      </c>
      <c r="B56" s="7" t="s">
        <v>198</v>
      </c>
      <c r="C56" s="7" t="s">
        <v>280</v>
      </c>
      <c r="D56" s="7" t="s">
        <v>273</v>
      </c>
      <c r="E56" s="18" t="n">
        <v>23866.57</v>
      </c>
      <c r="F56" s="24" t="str">
        <f aca="false">IF(E56&gt;=MUS_Parametros!$B$12,"SIM","NÃO")</f>
        <v>NÃO</v>
      </c>
      <c r="G56" s="18" t="n">
        <v>23866.57</v>
      </c>
      <c r="H56" s="21" t="n">
        <f aca="false">E56-G56</f>
        <v>0</v>
      </c>
      <c r="I56" s="25" t="n">
        <f aca="false">IF(F56="SIM","",H56/E56)</f>
        <v>0</v>
      </c>
    </row>
    <row r="57" customFormat="false" ht="15" hidden="false" customHeight="false" outlineLevel="0" collapsed="false">
      <c r="A57" s="7" t="s">
        <v>339</v>
      </c>
      <c r="B57" s="7" t="s">
        <v>198</v>
      </c>
      <c r="C57" s="7" t="s">
        <v>287</v>
      </c>
      <c r="D57" s="7" t="s">
        <v>273</v>
      </c>
      <c r="E57" s="18" t="n">
        <v>1125207.58</v>
      </c>
      <c r="F57" s="24" t="str">
        <f aca="false">IF(E57&gt;=MUS_Parametros!$B$12,"SIM","NÃO")</f>
        <v>NÃO</v>
      </c>
      <c r="G57" s="18" t="n">
        <v>1125207.58</v>
      </c>
      <c r="H57" s="21" t="n">
        <f aca="false">E57-G57</f>
        <v>0</v>
      </c>
      <c r="I57" s="25" t="n">
        <f aca="false">IF(F57="SIM","",H57/E57)</f>
        <v>0</v>
      </c>
    </row>
    <row r="58" customFormat="false" ht="15" hidden="false" customHeight="false" outlineLevel="0" collapsed="false">
      <c r="A58" s="7" t="s">
        <v>340</v>
      </c>
      <c r="B58" s="7" t="s">
        <v>198</v>
      </c>
      <c r="C58" s="7" t="s">
        <v>285</v>
      </c>
      <c r="D58" s="7" t="s">
        <v>273</v>
      </c>
      <c r="E58" s="18" t="n">
        <v>13374.5</v>
      </c>
      <c r="F58" s="24" t="str">
        <f aca="false">IF(E58&gt;=MUS_Parametros!$B$12,"SIM","NÃO")</f>
        <v>NÃO</v>
      </c>
      <c r="G58" s="18" t="n">
        <v>13374.5</v>
      </c>
      <c r="H58" s="21" t="n">
        <f aca="false">E58-G58</f>
        <v>0</v>
      </c>
      <c r="I58" s="25" t="n">
        <f aca="false">IF(F58="SIM","",H58/E58)</f>
        <v>0</v>
      </c>
    </row>
    <row r="59" customFormat="false" ht="15" hidden="false" customHeight="false" outlineLevel="0" collapsed="false">
      <c r="A59" s="7" t="s">
        <v>341</v>
      </c>
      <c r="B59" s="7" t="s">
        <v>198</v>
      </c>
      <c r="C59" s="7" t="s">
        <v>287</v>
      </c>
      <c r="D59" s="7" t="s">
        <v>273</v>
      </c>
      <c r="E59" s="18" t="n">
        <v>299272</v>
      </c>
      <c r="F59" s="24" t="str">
        <f aca="false">IF(E59&gt;=MUS_Parametros!$B$12,"SIM","NÃO")</f>
        <v>NÃO</v>
      </c>
      <c r="G59" s="18" t="n">
        <v>299272</v>
      </c>
      <c r="H59" s="21" t="n">
        <f aca="false">E59-G59</f>
        <v>0</v>
      </c>
      <c r="I59" s="25" t="n">
        <f aca="false">IF(F59="SIM","",H59/E59)</f>
        <v>0</v>
      </c>
    </row>
    <row r="60" customFormat="false" ht="15" hidden="false" customHeight="false" outlineLevel="0" collapsed="false">
      <c r="A60" s="7" t="s">
        <v>342</v>
      </c>
      <c r="B60" s="7" t="s">
        <v>198</v>
      </c>
      <c r="C60" s="7" t="s">
        <v>283</v>
      </c>
      <c r="D60" s="7" t="s">
        <v>273</v>
      </c>
      <c r="E60" s="18" t="n">
        <v>2784414.25</v>
      </c>
      <c r="F60" s="24" t="str">
        <f aca="false">IF(E60&gt;=MUS_Parametros!$B$12,"SIM","NÃO")</f>
        <v>NÃO</v>
      </c>
      <c r="G60" s="18" t="n">
        <v>2784414.25</v>
      </c>
      <c r="H60" s="21" t="n">
        <f aca="false">E60-G60</f>
        <v>0</v>
      </c>
      <c r="I60" s="25" t="n">
        <f aca="false">IF(F60="SIM","",H60/E60)</f>
        <v>0</v>
      </c>
    </row>
    <row r="61" customFormat="false" ht="15" hidden="false" customHeight="false" outlineLevel="0" collapsed="false">
      <c r="A61" s="7" t="s">
        <v>343</v>
      </c>
      <c r="B61" s="7" t="s">
        <v>198</v>
      </c>
      <c r="C61" s="7" t="s">
        <v>272</v>
      </c>
      <c r="D61" s="7" t="s">
        <v>273</v>
      </c>
      <c r="E61" s="18" t="n">
        <v>2532357.17</v>
      </c>
      <c r="F61" s="24" t="str">
        <f aca="false">IF(E61&gt;=MUS_Parametros!$B$12,"SIM","NÃO")</f>
        <v>NÃO</v>
      </c>
      <c r="G61" s="18" t="n">
        <v>2532357.17</v>
      </c>
      <c r="H61" s="21" t="n">
        <f aca="false">E61-G61</f>
        <v>0</v>
      </c>
      <c r="I61" s="25" t="n">
        <f aca="false">IF(F61="SIM","",H61/E61)</f>
        <v>0</v>
      </c>
    </row>
    <row r="62" customFormat="false" ht="15" hidden="false" customHeight="false" outlineLevel="0" collapsed="false">
      <c r="A62" s="7" t="s">
        <v>344</v>
      </c>
      <c r="B62" s="7" t="s">
        <v>198</v>
      </c>
      <c r="C62" s="7" t="s">
        <v>287</v>
      </c>
      <c r="D62" s="7" t="s">
        <v>273</v>
      </c>
      <c r="E62" s="18" t="n">
        <v>1336541.69</v>
      </c>
      <c r="F62" s="24" t="str">
        <f aca="false">IF(E62&gt;=MUS_Parametros!$B$12,"SIM","NÃO")</f>
        <v>NÃO</v>
      </c>
      <c r="G62" s="18" t="n">
        <v>1336541.69</v>
      </c>
      <c r="H62" s="21" t="n">
        <f aca="false">E62-G62</f>
        <v>0</v>
      </c>
      <c r="I62" s="25" t="n">
        <f aca="false">IF(F62="SIM","",H62/E62)</f>
        <v>0</v>
      </c>
    </row>
    <row r="63" customFormat="false" ht="15" hidden="false" customHeight="false" outlineLevel="0" collapsed="false">
      <c r="A63" s="7" t="s">
        <v>345</v>
      </c>
      <c r="B63" s="7" t="s">
        <v>198</v>
      </c>
      <c r="C63" s="7" t="s">
        <v>280</v>
      </c>
      <c r="D63" s="7" t="s">
        <v>273</v>
      </c>
      <c r="E63" s="18" t="n">
        <v>43476.02</v>
      </c>
      <c r="F63" s="24" t="str">
        <f aca="false">IF(E63&gt;=MUS_Parametros!$B$12,"SIM","NÃO")</f>
        <v>NÃO</v>
      </c>
      <c r="G63" s="18" t="n">
        <v>43476.02</v>
      </c>
      <c r="H63" s="21" t="n">
        <f aca="false">E63-G63</f>
        <v>0</v>
      </c>
      <c r="I63" s="25" t="n">
        <f aca="false">IF(F63="SIM","",H63/E63)</f>
        <v>0</v>
      </c>
    </row>
    <row r="64" customFormat="false" ht="15" hidden="false" customHeight="false" outlineLevel="0" collapsed="false">
      <c r="A64" s="7" t="s">
        <v>346</v>
      </c>
      <c r="B64" s="7" t="s">
        <v>198</v>
      </c>
      <c r="C64" s="7" t="s">
        <v>272</v>
      </c>
      <c r="D64" s="7" t="s">
        <v>273</v>
      </c>
      <c r="E64" s="18" t="n">
        <v>1178133.51</v>
      </c>
      <c r="F64" s="24" t="str">
        <f aca="false">IF(E64&gt;=MUS_Parametros!$B$12,"SIM","NÃO")</f>
        <v>NÃO</v>
      </c>
      <c r="G64" s="18" t="n">
        <v>1178133.51</v>
      </c>
      <c r="H64" s="21" t="n">
        <f aca="false">E64-G64</f>
        <v>0</v>
      </c>
      <c r="I64" s="25" t="n">
        <f aca="false">IF(F64="SIM","",H64/E64)</f>
        <v>0</v>
      </c>
    </row>
    <row r="65" customFormat="false" ht="15" hidden="false" customHeight="false" outlineLevel="0" collapsed="false">
      <c r="A65" s="7" t="s">
        <v>347</v>
      </c>
      <c r="B65" s="7" t="s">
        <v>198</v>
      </c>
      <c r="C65" s="7" t="s">
        <v>272</v>
      </c>
      <c r="D65" s="7" t="s">
        <v>273</v>
      </c>
      <c r="E65" s="18" t="n">
        <v>1050123.25</v>
      </c>
      <c r="F65" s="24" t="str">
        <f aca="false">IF(E65&gt;=MUS_Parametros!$B$12,"SIM","NÃO")</f>
        <v>NÃO</v>
      </c>
      <c r="G65" s="18" t="n">
        <v>1050123.25</v>
      </c>
      <c r="H65" s="21" t="n">
        <f aca="false">E65-G65</f>
        <v>0</v>
      </c>
      <c r="I65" s="25" t="n">
        <f aca="false">IF(F65="SIM","",H65/E65)</f>
        <v>0</v>
      </c>
    </row>
    <row r="66" customFormat="false" ht="15" hidden="false" customHeight="false" outlineLevel="0" collapsed="false">
      <c r="A66" s="7" t="s">
        <v>348</v>
      </c>
      <c r="B66" s="7" t="s">
        <v>198</v>
      </c>
      <c r="C66" s="7" t="s">
        <v>280</v>
      </c>
      <c r="D66" s="7" t="s">
        <v>273</v>
      </c>
      <c r="E66" s="18" t="n">
        <v>67860.21</v>
      </c>
      <c r="F66" s="24" t="str">
        <f aca="false">IF(E66&gt;=MUS_Parametros!$B$12,"SIM","NÃO")</f>
        <v>NÃO</v>
      </c>
      <c r="G66" s="18" t="n">
        <v>67860.21</v>
      </c>
      <c r="H66" s="21" t="n">
        <f aca="false">E66-G66</f>
        <v>0</v>
      </c>
      <c r="I66" s="25" t="n">
        <f aca="false">IF(F66="SIM","",H66/E66)</f>
        <v>0</v>
      </c>
    </row>
    <row r="67" customFormat="false" ht="15" hidden="false" customHeight="false" outlineLevel="0" collapsed="false">
      <c r="A67" s="7" t="s">
        <v>349</v>
      </c>
      <c r="B67" s="7" t="s">
        <v>200</v>
      </c>
      <c r="C67" s="7" t="s">
        <v>350</v>
      </c>
      <c r="D67" s="7" t="s">
        <v>273</v>
      </c>
      <c r="E67" s="18" t="n">
        <v>43122514.26</v>
      </c>
      <c r="F67" s="24" t="str">
        <f aca="false">IF(E67&gt;=MUS_Parametros!$B$12,"SIM","NÃO")</f>
        <v>SIM</v>
      </c>
      <c r="G67" s="18" t="n">
        <v>43122514.26</v>
      </c>
      <c r="H67" s="21" t="n">
        <f aca="false">E67-G67</f>
        <v>0</v>
      </c>
      <c r="I67" s="25" t="str">
        <f aca="false">IF(F67="SIM","",H67/E67)</f>
        <v/>
      </c>
    </row>
    <row r="68" customFormat="false" ht="15" hidden="false" customHeight="false" outlineLevel="0" collapsed="false">
      <c r="A68" s="7" t="s">
        <v>351</v>
      </c>
      <c r="B68" s="7" t="s">
        <v>200</v>
      </c>
      <c r="C68" s="7" t="s">
        <v>352</v>
      </c>
      <c r="D68" s="7" t="s">
        <v>273</v>
      </c>
      <c r="E68" s="18" t="n">
        <v>48699378.04</v>
      </c>
      <c r="F68" s="24" t="str">
        <f aca="false">IF(E68&gt;=MUS_Parametros!$B$12,"SIM","NÃO")</f>
        <v>SIM</v>
      </c>
      <c r="G68" s="18" t="n">
        <v>48699378.04</v>
      </c>
      <c r="H68" s="21" t="n">
        <f aca="false">E68-G68</f>
        <v>0</v>
      </c>
      <c r="I68" s="25" t="str">
        <f aca="false">IF(F68="SIM","",H68/E68)</f>
        <v/>
      </c>
    </row>
    <row r="69" customFormat="false" ht="15" hidden="false" customHeight="false" outlineLevel="0" collapsed="false">
      <c r="A69" s="7" t="s">
        <v>353</v>
      </c>
      <c r="B69" s="7" t="s">
        <v>198</v>
      </c>
      <c r="C69" s="7" t="s">
        <v>287</v>
      </c>
      <c r="D69" s="7" t="s">
        <v>273</v>
      </c>
      <c r="E69" s="18" t="n">
        <v>2500551.07</v>
      </c>
      <c r="F69" s="24" t="str">
        <f aca="false">IF(E69&gt;=MUS_Parametros!$B$12,"SIM","NÃO")</f>
        <v>NÃO</v>
      </c>
      <c r="G69" s="18" t="n">
        <v>2500551.07</v>
      </c>
      <c r="H69" s="21" t="n">
        <f aca="false">E69-G69</f>
        <v>0</v>
      </c>
      <c r="I69" s="25" t="n">
        <f aca="false">IF(F69="SIM","",H69/E69)</f>
        <v>0</v>
      </c>
    </row>
    <row r="70" customFormat="false" ht="15" hidden="false" customHeight="false" outlineLevel="0" collapsed="false">
      <c r="A70" s="7" t="s">
        <v>354</v>
      </c>
      <c r="B70" s="7" t="s">
        <v>200</v>
      </c>
      <c r="C70" s="7" t="s">
        <v>355</v>
      </c>
      <c r="D70" s="7" t="s">
        <v>273</v>
      </c>
      <c r="E70" s="18" t="n">
        <v>34642104.58</v>
      </c>
      <c r="F70" s="24" t="str">
        <f aca="false">IF(E70&gt;=MUS_Parametros!$B$12,"SIM","NÃO")</f>
        <v>SIM</v>
      </c>
      <c r="G70" s="18" t="n">
        <v>34642104.58</v>
      </c>
      <c r="H70" s="21" t="n">
        <f aca="false">E70-G70</f>
        <v>0</v>
      </c>
      <c r="I70" s="25" t="str">
        <f aca="false">IF(F70="SIM","",H70/E70)</f>
        <v/>
      </c>
    </row>
    <row r="71" customFormat="false" ht="15" hidden="false" customHeight="false" outlineLevel="0" collapsed="false">
      <c r="A71" s="7" t="s">
        <v>356</v>
      </c>
      <c r="B71" s="7" t="s">
        <v>198</v>
      </c>
      <c r="C71" s="7" t="s">
        <v>287</v>
      </c>
      <c r="D71" s="7" t="s">
        <v>273</v>
      </c>
      <c r="E71" s="18" t="n">
        <v>781577.91</v>
      </c>
      <c r="F71" s="24" t="str">
        <f aca="false">IF(E71&gt;=MUS_Parametros!$B$12,"SIM","NÃO")</f>
        <v>NÃO</v>
      </c>
      <c r="G71" s="18" t="n">
        <v>781577.91</v>
      </c>
      <c r="H71" s="21" t="n">
        <f aca="false">E71-G71</f>
        <v>0</v>
      </c>
      <c r="I71" s="25" t="n">
        <f aca="false">IF(F71="SIM","",H71/E71)</f>
        <v>0</v>
      </c>
    </row>
    <row r="72" customFormat="false" ht="15" hidden="false" customHeight="false" outlineLevel="0" collapsed="false">
      <c r="A72" s="7" t="s">
        <v>357</v>
      </c>
      <c r="B72" s="7" t="s">
        <v>200</v>
      </c>
      <c r="C72" s="7" t="s">
        <v>358</v>
      </c>
      <c r="D72" s="7" t="s">
        <v>273</v>
      </c>
      <c r="E72" s="18" t="n">
        <v>29253432.69</v>
      </c>
      <c r="F72" s="24" t="str">
        <f aca="false">IF(E72&gt;=MUS_Parametros!$B$12,"SIM","NÃO")</f>
        <v>NÃO</v>
      </c>
      <c r="G72" s="18" t="n">
        <v>29253432.69</v>
      </c>
      <c r="H72" s="21" t="n">
        <f aca="false">E72-G72</f>
        <v>0</v>
      </c>
      <c r="I72" s="25" t="n">
        <f aca="false">IF(F72="SIM","",H72/E72)</f>
        <v>0</v>
      </c>
    </row>
    <row r="73" customFormat="false" ht="15" hidden="false" customHeight="false" outlineLevel="0" collapsed="false">
      <c r="A73" s="7" t="s">
        <v>359</v>
      </c>
      <c r="B73" s="7" t="s">
        <v>198</v>
      </c>
      <c r="C73" s="7" t="s">
        <v>280</v>
      </c>
      <c r="D73" s="7" t="s">
        <v>273</v>
      </c>
      <c r="E73" s="18" t="n">
        <v>131780</v>
      </c>
      <c r="F73" s="24" t="str">
        <f aca="false">IF(E73&gt;=MUS_Parametros!$B$12,"SIM","NÃO")</f>
        <v>NÃO</v>
      </c>
      <c r="G73" s="18" t="n">
        <v>131780</v>
      </c>
      <c r="H73" s="21" t="n">
        <f aca="false">E73-G73</f>
        <v>0</v>
      </c>
      <c r="I73" s="25" t="n">
        <f aca="false">IF(F73="SIM","",H73/E73)</f>
        <v>0</v>
      </c>
    </row>
    <row r="74" customFormat="false" ht="15" hidden="false" customHeight="false" outlineLevel="0" collapsed="false">
      <c r="A74" s="7" t="s">
        <v>360</v>
      </c>
      <c r="B74" s="7" t="s">
        <v>198</v>
      </c>
      <c r="C74" s="7" t="s">
        <v>272</v>
      </c>
      <c r="D74" s="7" t="s">
        <v>273</v>
      </c>
      <c r="E74" s="18" t="n">
        <v>10760864.59</v>
      </c>
      <c r="F74" s="24" t="str">
        <f aca="false">IF(E74&gt;=MUS_Parametros!$B$12,"SIM","NÃO")</f>
        <v>NÃO</v>
      </c>
      <c r="G74" s="18" t="n">
        <v>10760864.59</v>
      </c>
      <c r="H74" s="21" t="n">
        <f aca="false">E74-G74</f>
        <v>0</v>
      </c>
      <c r="I74" s="25" t="n">
        <f aca="false">IF(F74="SIM","",H74/E74)</f>
        <v>0</v>
      </c>
    </row>
    <row r="75" customFormat="false" ht="15" hidden="false" customHeight="false" outlineLevel="0" collapsed="false">
      <c r="A75" s="7" t="s">
        <v>361</v>
      </c>
      <c r="B75" s="7" t="s">
        <v>198</v>
      </c>
      <c r="C75" s="7" t="s">
        <v>330</v>
      </c>
      <c r="D75" s="7" t="s">
        <v>273</v>
      </c>
      <c r="E75" s="18" t="n">
        <v>28748.83</v>
      </c>
      <c r="F75" s="24" t="str">
        <f aca="false">IF(E75&gt;=MUS_Parametros!$B$12,"SIM","NÃO")</f>
        <v>NÃO</v>
      </c>
      <c r="G75" s="18" t="n">
        <v>28748.83</v>
      </c>
      <c r="H75" s="21" t="n">
        <f aca="false">E75-G75</f>
        <v>0</v>
      </c>
      <c r="I75" s="25" t="n">
        <f aca="false">IF(F75="SIM","",H75/E75)</f>
        <v>0</v>
      </c>
    </row>
    <row r="76" customFormat="false" ht="15" hidden="false" customHeight="false" outlineLevel="0" collapsed="false">
      <c r="A76" s="7" t="s">
        <v>362</v>
      </c>
      <c r="B76" s="7" t="s">
        <v>198</v>
      </c>
      <c r="C76" s="7" t="s">
        <v>280</v>
      </c>
      <c r="D76" s="7" t="s">
        <v>273</v>
      </c>
      <c r="E76" s="18" t="n">
        <v>70917.91</v>
      </c>
      <c r="F76" s="24" t="str">
        <f aca="false">IF(E76&gt;=MUS_Parametros!$B$12,"SIM","NÃO")</f>
        <v>NÃO</v>
      </c>
      <c r="G76" s="18" t="n">
        <v>70917.91</v>
      </c>
      <c r="H76" s="21" t="n">
        <f aca="false">E76-G76</f>
        <v>0</v>
      </c>
      <c r="I76" s="25" t="n">
        <f aca="false">IF(F76="SIM","",H76/E76)</f>
        <v>0</v>
      </c>
    </row>
    <row r="77" customFormat="false" ht="15" hidden="false" customHeight="false" outlineLevel="0" collapsed="false">
      <c r="A77" s="7" t="s">
        <v>363</v>
      </c>
      <c r="B77" s="7" t="s">
        <v>198</v>
      </c>
      <c r="C77" s="7" t="s">
        <v>287</v>
      </c>
      <c r="D77" s="7" t="s">
        <v>273</v>
      </c>
      <c r="E77" s="18" t="n">
        <v>600404.05</v>
      </c>
      <c r="F77" s="24" t="str">
        <f aca="false">IF(E77&gt;=MUS_Parametros!$B$12,"SIM","NÃO")</f>
        <v>NÃO</v>
      </c>
      <c r="G77" s="18" t="n">
        <v>600404.05</v>
      </c>
      <c r="H77" s="21" t="n">
        <f aca="false">E77-G77</f>
        <v>0</v>
      </c>
      <c r="I77" s="25" t="n">
        <f aca="false">IF(F77="SIM","",H77/E77)</f>
        <v>0</v>
      </c>
    </row>
    <row r="78" customFormat="false" ht="15" hidden="false" customHeight="false" outlineLevel="0" collapsed="false">
      <c r="A78" s="7" t="s">
        <v>364</v>
      </c>
      <c r="B78" s="7" t="s">
        <v>198</v>
      </c>
      <c r="C78" s="7" t="s">
        <v>287</v>
      </c>
      <c r="D78" s="7" t="s">
        <v>273</v>
      </c>
      <c r="E78" s="18" t="n">
        <v>3449061.77</v>
      </c>
      <c r="F78" s="24" t="str">
        <f aca="false">IF(E78&gt;=MUS_Parametros!$B$12,"SIM","NÃO")</f>
        <v>NÃO</v>
      </c>
      <c r="G78" s="18" t="n">
        <v>3449061.77</v>
      </c>
      <c r="H78" s="21" t="n">
        <f aca="false">E78-G78</f>
        <v>0</v>
      </c>
      <c r="I78" s="25" t="n">
        <f aca="false">IF(F78="SIM","",H78/E78)</f>
        <v>0</v>
      </c>
    </row>
    <row r="79" customFormat="false" ht="15" hidden="false" customHeight="false" outlineLevel="0" collapsed="false">
      <c r="A79" s="7" t="s">
        <v>365</v>
      </c>
      <c r="B79" s="7" t="s">
        <v>198</v>
      </c>
      <c r="C79" s="7" t="s">
        <v>283</v>
      </c>
      <c r="D79" s="7" t="s">
        <v>273</v>
      </c>
      <c r="E79" s="18" t="n">
        <v>140691.24</v>
      </c>
      <c r="F79" s="24" t="str">
        <f aca="false">IF(E79&gt;=MUS_Parametros!$B$12,"SIM","NÃO")</f>
        <v>NÃO</v>
      </c>
      <c r="G79" s="18" t="n">
        <v>140691.24</v>
      </c>
      <c r="H79" s="21" t="n">
        <f aca="false">E79-G79</f>
        <v>0</v>
      </c>
      <c r="I79" s="25" t="n">
        <f aca="false">IF(F79="SIM","",H79/E79)</f>
        <v>0</v>
      </c>
    </row>
    <row r="80" customFormat="false" ht="15" hidden="false" customHeight="false" outlineLevel="0" collapsed="false">
      <c r="A80" s="7" t="s">
        <v>366</v>
      </c>
      <c r="B80" s="7" t="s">
        <v>198</v>
      </c>
      <c r="C80" s="7" t="s">
        <v>272</v>
      </c>
      <c r="D80" s="7" t="s">
        <v>273</v>
      </c>
      <c r="E80" s="18" t="n">
        <v>1369552.37</v>
      </c>
      <c r="F80" s="24" t="str">
        <f aca="false">IF(E80&gt;=MUS_Parametros!$B$12,"SIM","NÃO")</f>
        <v>NÃO</v>
      </c>
      <c r="G80" s="18" t="n">
        <v>1369552.37</v>
      </c>
      <c r="H80" s="21" t="n">
        <f aca="false">E80-G80</f>
        <v>0</v>
      </c>
      <c r="I80" s="25" t="n">
        <f aca="false">IF(F80="SIM","",H80/E80)</f>
        <v>0</v>
      </c>
    </row>
    <row r="81" customFormat="false" ht="15" hidden="false" customHeight="false" outlineLevel="0" collapsed="false">
      <c r="A81" s="7" t="s">
        <v>367</v>
      </c>
      <c r="B81" s="7" t="s">
        <v>198</v>
      </c>
      <c r="C81" s="7" t="s">
        <v>287</v>
      </c>
      <c r="D81" s="7" t="s">
        <v>273</v>
      </c>
      <c r="E81" s="18" t="n">
        <v>1463989.4</v>
      </c>
      <c r="F81" s="24" t="str">
        <f aca="false">IF(E81&gt;=MUS_Parametros!$B$12,"SIM","NÃO")</f>
        <v>NÃO</v>
      </c>
      <c r="G81" s="18" t="n">
        <v>1463989.4</v>
      </c>
      <c r="H81" s="21" t="n">
        <f aca="false">E81-G81</f>
        <v>0</v>
      </c>
      <c r="I81" s="25" t="n">
        <f aca="false">IF(F81="SIM","",H81/E81)</f>
        <v>0</v>
      </c>
    </row>
    <row r="82" customFormat="false" ht="15" hidden="false" customHeight="false" outlineLevel="0" collapsed="false">
      <c r="A82" s="7" t="s">
        <v>368</v>
      </c>
      <c r="B82" s="7" t="s">
        <v>198</v>
      </c>
      <c r="C82" s="7" t="s">
        <v>287</v>
      </c>
      <c r="D82" s="7" t="s">
        <v>273</v>
      </c>
      <c r="E82" s="18" t="n">
        <v>502715.88</v>
      </c>
      <c r="F82" s="24" t="str">
        <f aca="false">IF(E82&gt;=MUS_Parametros!$B$12,"SIM","NÃO")</f>
        <v>NÃO</v>
      </c>
      <c r="G82" s="18" t="n">
        <v>502715.88</v>
      </c>
      <c r="H82" s="21" t="n">
        <f aca="false">E82-G82</f>
        <v>0</v>
      </c>
      <c r="I82" s="25" t="n">
        <f aca="false">IF(F82="SIM","",H82/E82)</f>
        <v>0</v>
      </c>
    </row>
    <row r="83" customFormat="false" ht="15" hidden="false" customHeight="false" outlineLevel="0" collapsed="false">
      <c r="A83" s="7" t="s">
        <v>369</v>
      </c>
      <c r="B83" s="7" t="s">
        <v>198</v>
      </c>
      <c r="C83" s="7" t="s">
        <v>280</v>
      </c>
      <c r="D83" s="7" t="s">
        <v>273</v>
      </c>
      <c r="E83" s="18" t="n">
        <v>65050.96</v>
      </c>
      <c r="F83" s="24" t="str">
        <f aca="false">IF(E83&gt;=MUS_Parametros!$B$12,"SIM","NÃO")</f>
        <v>NÃO</v>
      </c>
      <c r="G83" s="18" t="n">
        <v>65050.96</v>
      </c>
      <c r="H83" s="21" t="n">
        <f aca="false">E83-G83</f>
        <v>0</v>
      </c>
      <c r="I83" s="25" t="n">
        <f aca="false">IF(F83="SIM","",H83/E83)</f>
        <v>0</v>
      </c>
    </row>
    <row r="84" customFormat="false" ht="15" hidden="false" customHeight="false" outlineLevel="0" collapsed="false">
      <c r="A84" s="7" t="s">
        <v>370</v>
      </c>
      <c r="B84" s="7" t="s">
        <v>198</v>
      </c>
      <c r="C84" s="7" t="s">
        <v>283</v>
      </c>
      <c r="D84" s="7" t="s">
        <v>273</v>
      </c>
      <c r="E84" s="18" t="n">
        <v>692284.49</v>
      </c>
      <c r="F84" s="24" t="str">
        <f aca="false">IF(E84&gt;=MUS_Parametros!$B$12,"SIM","NÃO")</f>
        <v>NÃO</v>
      </c>
      <c r="G84" s="18" t="n">
        <v>692284.49</v>
      </c>
      <c r="H84" s="21" t="n">
        <f aca="false">E84-G84</f>
        <v>0</v>
      </c>
      <c r="I84" s="25" t="n">
        <f aca="false">IF(F84="SIM","",H84/E84)</f>
        <v>0</v>
      </c>
    </row>
    <row r="85" customFormat="false" ht="15" hidden="false" customHeight="false" outlineLevel="0" collapsed="false">
      <c r="A85" s="7" t="s">
        <v>371</v>
      </c>
      <c r="B85" s="7" t="s">
        <v>198</v>
      </c>
      <c r="C85" s="7" t="s">
        <v>287</v>
      </c>
      <c r="D85" s="7" t="s">
        <v>273</v>
      </c>
      <c r="E85" s="18" t="n">
        <v>1207484.83</v>
      </c>
      <c r="F85" s="24" t="str">
        <f aca="false">IF(E85&gt;=MUS_Parametros!$B$12,"SIM","NÃO")</f>
        <v>NÃO</v>
      </c>
      <c r="G85" s="18" t="n">
        <v>1207484.83</v>
      </c>
      <c r="H85" s="21" t="n">
        <f aca="false">E85-G85</f>
        <v>0</v>
      </c>
      <c r="I85" s="25" t="n">
        <f aca="false">IF(F85="SIM","",H85/E85)</f>
        <v>0</v>
      </c>
    </row>
    <row r="86" customFormat="false" ht="15" hidden="false" customHeight="false" outlineLevel="0" collapsed="false">
      <c r="A86" s="7" t="s">
        <v>372</v>
      </c>
      <c r="B86" s="7" t="s">
        <v>198</v>
      </c>
      <c r="C86" s="7" t="s">
        <v>287</v>
      </c>
      <c r="D86" s="7" t="s">
        <v>273</v>
      </c>
      <c r="E86" s="18" t="n">
        <v>1076185.67</v>
      </c>
      <c r="F86" s="24" t="str">
        <f aca="false">IF(E86&gt;=MUS_Parametros!$B$12,"SIM","NÃO")</f>
        <v>NÃO</v>
      </c>
      <c r="G86" s="18" t="n">
        <v>1076185.67</v>
      </c>
      <c r="H86" s="21" t="n">
        <f aca="false">E86-G86</f>
        <v>0</v>
      </c>
      <c r="I86" s="25" t="n">
        <f aca="false">IF(F86="SIM","",H86/E86)</f>
        <v>0</v>
      </c>
    </row>
    <row r="87" customFormat="false" ht="15" hidden="false" customHeight="false" outlineLevel="0" collapsed="false">
      <c r="A87" s="7" t="s">
        <v>373</v>
      </c>
      <c r="B87" s="7" t="s">
        <v>198</v>
      </c>
      <c r="C87" s="7" t="s">
        <v>272</v>
      </c>
      <c r="D87" s="7" t="s">
        <v>273</v>
      </c>
      <c r="E87" s="18" t="n">
        <v>2088437.61</v>
      </c>
      <c r="F87" s="24" t="str">
        <f aca="false">IF(E87&gt;=MUS_Parametros!$B$12,"SIM","NÃO")</f>
        <v>NÃO</v>
      </c>
      <c r="G87" s="18" t="n">
        <v>2088437.61</v>
      </c>
      <c r="H87" s="21" t="n">
        <f aca="false">E87-G87</f>
        <v>0</v>
      </c>
      <c r="I87" s="25" t="n">
        <f aca="false">IF(F87="SIM","",H87/E87)</f>
        <v>0</v>
      </c>
    </row>
    <row r="88" customFormat="false" ht="15" hidden="false" customHeight="false" outlineLevel="0" collapsed="false">
      <c r="A88" s="7" t="s">
        <v>374</v>
      </c>
      <c r="B88" s="7" t="s">
        <v>198</v>
      </c>
      <c r="C88" s="7" t="s">
        <v>283</v>
      </c>
      <c r="D88" s="7" t="s">
        <v>273</v>
      </c>
      <c r="E88" s="18" t="n">
        <v>58903.23</v>
      </c>
      <c r="F88" s="24" t="str">
        <f aca="false">IF(E88&gt;=MUS_Parametros!$B$12,"SIM","NÃO")</f>
        <v>NÃO</v>
      </c>
      <c r="G88" s="18" t="n">
        <v>58903.23</v>
      </c>
      <c r="H88" s="21" t="n">
        <f aca="false">E88-G88</f>
        <v>0</v>
      </c>
      <c r="I88" s="25" t="n">
        <f aca="false">IF(F88="SIM","",H88/E88)</f>
        <v>0</v>
      </c>
    </row>
    <row r="89" customFormat="false" ht="15" hidden="false" customHeight="false" outlineLevel="0" collapsed="false">
      <c r="A89" s="7" t="s">
        <v>375</v>
      </c>
      <c r="B89" s="7" t="s">
        <v>210</v>
      </c>
      <c r="C89" s="7" t="s">
        <v>376</v>
      </c>
      <c r="D89" s="7" t="s">
        <v>273</v>
      </c>
      <c r="E89" s="18" t="n">
        <v>65512243.25</v>
      </c>
      <c r="F89" s="24" t="str">
        <f aca="false">IF(E89&gt;=MUS_Parametros!$B$12,"SIM","NÃO")</f>
        <v>SIM</v>
      </c>
      <c r="G89" s="18" t="n">
        <v>65512243.25</v>
      </c>
      <c r="H89" s="21" t="n">
        <f aca="false">E89-G89</f>
        <v>0</v>
      </c>
      <c r="I89" s="25" t="str">
        <f aca="false">IF(F89="SIM","",H89/E89)</f>
        <v/>
      </c>
    </row>
    <row r="90" customFormat="false" ht="15" hidden="false" customHeight="false" outlineLevel="0" collapsed="false">
      <c r="A90" s="7" t="s">
        <v>377</v>
      </c>
      <c r="B90" s="7" t="s">
        <v>198</v>
      </c>
      <c r="C90" s="7" t="s">
        <v>287</v>
      </c>
      <c r="D90" s="7" t="s">
        <v>273</v>
      </c>
      <c r="E90" s="18" t="n">
        <v>880105.2</v>
      </c>
      <c r="F90" s="24" t="str">
        <f aca="false">IF(E90&gt;=MUS_Parametros!$B$12,"SIM","NÃO")</f>
        <v>NÃO</v>
      </c>
      <c r="G90" s="18" t="n">
        <v>880105.2</v>
      </c>
      <c r="H90" s="21" t="n">
        <f aca="false">E90-G90</f>
        <v>0</v>
      </c>
      <c r="I90" s="25" t="n">
        <f aca="false">IF(F90="SIM","",H90/E90)</f>
        <v>0</v>
      </c>
    </row>
    <row r="91" customFormat="false" ht="15" hidden="false" customHeight="false" outlineLevel="0" collapsed="false">
      <c r="A91" s="7" t="s">
        <v>378</v>
      </c>
      <c r="B91" s="7" t="s">
        <v>198</v>
      </c>
      <c r="C91" s="7" t="s">
        <v>280</v>
      </c>
      <c r="D91" s="7" t="s">
        <v>273</v>
      </c>
      <c r="E91" s="18" t="n">
        <v>39272.23</v>
      </c>
      <c r="F91" s="24" t="str">
        <f aca="false">IF(E91&gt;=MUS_Parametros!$B$12,"SIM","NÃO")</f>
        <v>NÃO</v>
      </c>
      <c r="G91" s="18" t="n">
        <v>39272.23</v>
      </c>
      <c r="H91" s="21" t="n">
        <f aca="false">E91-G91</f>
        <v>0</v>
      </c>
      <c r="I91" s="25" t="n">
        <f aca="false">IF(F91="SIM","",H91/E91)</f>
        <v>0</v>
      </c>
    </row>
    <row r="92" customFormat="false" ht="15" hidden="false" customHeight="false" outlineLevel="0" collapsed="false">
      <c r="A92" s="7" t="s">
        <v>379</v>
      </c>
      <c r="B92" s="7" t="s">
        <v>198</v>
      </c>
      <c r="C92" s="7" t="s">
        <v>272</v>
      </c>
      <c r="D92" s="7" t="s">
        <v>273</v>
      </c>
      <c r="E92" s="18" t="n">
        <v>2647010.78</v>
      </c>
      <c r="F92" s="24" t="str">
        <f aca="false">IF(E92&gt;=MUS_Parametros!$B$12,"SIM","NÃO")</f>
        <v>NÃO</v>
      </c>
      <c r="G92" s="18" t="n">
        <v>2647010.78</v>
      </c>
      <c r="H92" s="21" t="n">
        <f aca="false">E92-G92</f>
        <v>0</v>
      </c>
      <c r="I92" s="25" t="n">
        <f aca="false">IF(F92="SIM","",H92/E92)</f>
        <v>0</v>
      </c>
    </row>
    <row r="93" customFormat="false" ht="15" hidden="false" customHeight="false" outlineLevel="0" collapsed="false">
      <c r="A93" s="7" t="s">
        <v>380</v>
      </c>
      <c r="B93" s="7" t="s">
        <v>198</v>
      </c>
      <c r="C93" s="7" t="s">
        <v>280</v>
      </c>
      <c r="D93" s="7" t="s">
        <v>273</v>
      </c>
      <c r="E93" s="18" t="n">
        <v>83135.28</v>
      </c>
      <c r="F93" s="24" t="str">
        <f aca="false">IF(E93&gt;=MUS_Parametros!$B$12,"SIM","NÃO")</f>
        <v>NÃO</v>
      </c>
      <c r="G93" s="18" t="n">
        <v>83135.28</v>
      </c>
      <c r="H93" s="21" t="n">
        <f aca="false">E93-G93</f>
        <v>0</v>
      </c>
      <c r="I93" s="25" t="n">
        <f aca="false">IF(F93="SIM","",H93/E93)</f>
        <v>0</v>
      </c>
    </row>
    <row r="94" customFormat="false" ht="15" hidden="false" customHeight="false" outlineLevel="0" collapsed="false">
      <c r="A94" s="7" t="s">
        <v>381</v>
      </c>
      <c r="B94" s="7" t="s">
        <v>198</v>
      </c>
      <c r="C94" s="7" t="s">
        <v>287</v>
      </c>
      <c r="D94" s="7" t="s">
        <v>273</v>
      </c>
      <c r="E94" s="18" t="n">
        <v>727580.21</v>
      </c>
      <c r="F94" s="24" t="str">
        <f aca="false">IF(E94&gt;=MUS_Parametros!$B$12,"SIM","NÃO")</f>
        <v>NÃO</v>
      </c>
      <c r="G94" s="18" t="n">
        <v>727580.21</v>
      </c>
      <c r="H94" s="21" t="n">
        <f aca="false">E94-G94</f>
        <v>0</v>
      </c>
      <c r="I94" s="25" t="n">
        <f aca="false">IF(F94="SIM","",H94/E94)</f>
        <v>0</v>
      </c>
    </row>
    <row r="95" customFormat="false" ht="15" hidden="false" customHeight="false" outlineLevel="0" collapsed="false">
      <c r="A95" s="7" t="s">
        <v>382</v>
      </c>
      <c r="B95" s="7" t="s">
        <v>198</v>
      </c>
      <c r="C95" s="7" t="s">
        <v>287</v>
      </c>
      <c r="D95" s="7" t="s">
        <v>273</v>
      </c>
      <c r="E95" s="18" t="n">
        <v>578765.81</v>
      </c>
      <c r="F95" s="24" t="str">
        <f aca="false">IF(E95&gt;=MUS_Parametros!$B$12,"SIM","NÃO")</f>
        <v>NÃO</v>
      </c>
      <c r="G95" s="18" t="n">
        <v>578765.81</v>
      </c>
      <c r="H95" s="21" t="n">
        <f aca="false">E95-G95</f>
        <v>0</v>
      </c>
      <c r="I95" s="25" t="n">
        <f aca="false">IF(F95="SIM","",H95/E95)</f>
        <v>0</v>
      </c>
    </row>
    <row r="96" customFormat="false" ht="15" hidden="false" customHeight="false" outlineLevel="0" collapsed="false">
      <c r="A96" s="7" t="s">
        <v>383</v>
      </c>
      <c r="B96" s="7" t="s">
        <v>198</v>
      </c>
      <c r="C96" s="7" t="s">
        <v>280</v>
      </c>
      <c r="D96" s="7" t="s">
        <v>273</v>
      </c>
      <c r="E96" s="18" t="n">
        <v>34902.42</v>
      </c>
      <c r="F96" s="24" t="str">
        <f aca="false">IF(E96&gt;=MUS_Parametros!$B$12,"SIM","NÃO")</f>
        <v>NÃO</v>
      </c>
      <c r="G96" s="18" t="n">
        <v>34902.42</v>
      </c>
      <c r="H96" s="21" t="n">
        <f aca="false">E96-G96</f>
        <v>0</v>
      </c>
      <c r="I96" s="25" t="n">
        <f aca="false">IF(F96="SIM","",H96/E96)</f>
        <v>0</v>
      </c>
    </row>
    <row r="97" customFormat="false" ht="15" hidden="false" customHeight="false" outlineLevel="0" collapsed="false">
      <c r="A97" s="7" t="s">
        <v>384</v>
      </c>
      <c r="B97" s="7" t="s">
        <v>200</v>
      </c>
      <c r="C97" s="7" t="s">
        <v>385</v>
      </c>
      <c r="D97" s="7" t="s">
        <v>273</v>
      </c>
      <c r="E97" s="18" t="n">
        <v>23205864</v>
      </c>
      <c r="F97" s="24" t="str">
        <f aca="false">IF(E97&gt;=MUS_Parametros!$B$12,"SIM","NÃO")</f>
        <v>NÃO</v>
      </c>
      <c r="G97" s="18" t="n">
        <v>23205864</v>
      </c>
      <c r="H97" s="21" t="n">
        <f aca="false">E97-G97</f>
        <v>0</v>
      </c>
      <c r="I97" s="25" t="n">
        <f aca="false">IF(F97="SIM","",H97/E97)</f>
        <v>0</v>
      </c>
    </row>
    <row r="98" customFormat="false" ht="15" hidden="false" customHeight="false" outlineLevel="0" collapsed="false">
      <c r="A98" s="7" t="s">
        <v>386</v>
      </c>
      <c r="B98" s="7" t="s">
        <v>198</v>
      </c>
      <c r="C98" s="7" t="s">
        <v>287</v>
      </c>
      <c r="D98" s="7" t="s">
        <v>273</v>
      </c>
      <c r="E98" s="18" t="n">
        <v>399521.53</v>
      </c>
      <c r="F98" s="24" t="str">
        <f aca="false">IF(E98&gt;=MUS_Parametros!$B$12,"SIM","NÃO")</f>
        <v>NÃO</v>
      </c>
      <c r="G98" s="18" t="n">
        <v>399521.53</v>
      </c>
      <c r="H98" s="21" t="n">
        <f aca="false">E98-G98</f>
        <v>0</v>
      </c>
      <c r="I98" s="25" t="n">
        <f aca="false">IF(F98="SIM","",H98/E98)</f>
        <v>0</v>
      </c>
    </row>
    <row r="99" customFormat="false" ht="15" hidden="false" customHeight="false" outlineLevel="0" collapsed="false">
      <c r="A99" s="7" t="s">
        <v>387</v>
      </c>
      <c r="B99" s="7" t="s">
        <v>200</v>
      </c>
      <c r="C99" s="7" t="s">
        <v>388</v>
      </c>
      <c r="D99" s="7" t="s">
        <v>273</v>
      </c>
      <c r="E99" s="18" t="n">
        <v>46906238.8</v>
      </c>
      <c r="F99" s="24" t="str">
        <f aca="false">IF(E99&gt;=MUS_Parametros!$B$12,"SIM","NÃO")</f>
        <v>SIM</v>
      </c>
      <c r="G99" s="18" t="n">
        <v>46906238.8</v>
      </c>
      <c r="H99" s="21" t="n">
        <f aca="false">E99-G99</f>
        <v>0</v>
      </c>
      <c r="I99" s="25" t="str">
        <f aca="false">IF(F99="SIM","",H99/E99)</f>
        <v/>
      </c>
    </row>
    <row r="100" customFormat="false" ht="15" hidden="false" customHeight="false" outlineLevel="0" collapsed="false">
      <c r="A100" s="7" t="s">
        <v>389</v>
      </c>
      <c r="B100" s="7" t="s">
        <v>198</v>
      </c>
      <c r="C100" s="7" t="s">
        <v>280</v>
      </c>
      <c r="D100" s="7" t="s">
        <v>273</v>
      </c>
      <c r="E100" s="18" t="n">
        <v>108652.51</v>
      </c>
      <c r="F100" s="24" t="str">
        <f aca="false">IF(E100&gt;=MUS_Parametros!$B$12,"SIM","NÃO")</f>
        <v>NÃO</v>
      </c>
      <c r="G100" s="18" t="n">
        <v>108652.51</v>
      </c>
      <c r="H100" s="21" t="n">
        <f aca="false">E100-G100</f>
        <v>0</v>
      </c>
      <c r="I100" s="25" t="n">
        <f aca="false">IF(F100="SIM","",H100/E100)</f>
        <v>0</v>
      </c>
    </row>
    <row r="101" customFormat="false" ht="15" hidden="false" customHeight="false" outlineLevel="0" collapsed="false">
      <c r="A101" s="7" t="s">
        <v>390</v>
      </c>
      <c r="B101" s="7" t="s">
        <v>198</v>
      </c>
      <c r="C101" s="7" t="s">
        <v>272</v>
      </c>
      <c r="D101" s="7" t="s">
        <v>273</v>
      </c>
      <c r="E101" s="18" t="n">
        <v>1783230.25</v>
      </c>
      <c r="F101" s="24" t="str">
        <f aca="false">IF(E101&gt;=MUS_Parametros!$B$12,"SIM","NÃO")</f>
        <v>NÃO</v>
      </c>
      <c r="G101" s="18" t="n">
        <v>1783230.25</v>
      </c>
      <c r="H101" s="21" t="n">
        <f aca="false">E101-G101</f>
        <v>0</v>
      </c>
      <c r="I101" s="25" t="n">
        <f aca="false">IF(F101="SIM","",H101/E101)</f>
        <v>0</v>
      </c>
    </row>
    <row r="102" customFormat="false" ht="15" hidden="false" customHeight="false" outlineLevel="0" collapsed="false">
      <c r="A102" s="7" t="s">
        <v>391</v>
      </c>
      <c r="B102" s="7" t="s">
        <v>198</v>
      </c>
      <c r="C102" s="7" t="s">
        <v>272</v>
      </c>
      <c r="D102" s="7" t="s">
        <v>273</v>
      </c>
      <c r="E102" s="18" t="n">
        <v>2935069.51</v>
      </c>
      <c r="F102" s="24" t="str">
        <f aca="false">IF(E102&gt;=MUS_Parametros!$B$12,"SIM","NÃO")</f>
        <v>NÃO</v>
      </c>
      <c r="G102" s="18" t="n">
        <v>2935069.51</v>
      </c>
      <c r="H102" s="21" t="n">
        <f aca="false">E102-G102</f>
        <v>0</v>
      </c>
      <c r="I102" s="25" t="n">
        <f aca="false">IF(F102="SIM","",H102/E102)</f>
        <v>0</v>
      </c>
    </row>
    <row r="103" customFormat="false" ht="15" hidden="false" customHeight="false" outlineLevel="0" collapsed="false">
      <c r="A103" s="7" t="s">
        <v>392</v>
      </c>
      <c r="B103" s="7" t="s">
        <v>198</v>
      </c>
      <c r="C103" s="7" t="s">
        <v>280</v>
      </c>
      <c r="D103" s="7" t="s">
        <v>273</v>
      </c>
      <c r="E103" s="18" t="n">
        <v>37555.43</v>
      </c>
      <c r="F103" s="24" t="str">
        <f aca="false">IF(E103&gt;=MUS_Parametros!$B$12,"SIM","NÃO")</f>
        <v>NÃO</v>
      </c>
      <c r="G103" s="18" t="n">
        <v>37555.43</v>
      </c>
      <c r="H103" s="21" t="n">
        <f aca="false">E103-G103</f>
        <v>0</v>
      </c>
      <c r="I103" s="25" t="n">
        <f aca="false">IF(F103="SIM","",H103/E103)</f>
        <v>0</v>
      </c>
    </row>
    <row r="104" customFormat="false" ht="15" hidden="false" customHeight="false" outlineLevel="0" collapsed="false">
      <c r="A104" s="7" t="s">
        <v>393</v>
      </c>
      <c r="B104" s="7" t="s">
        <v>202</v>
      </c>
      <c r="C104" s="7" t="s">
        <v>394</v>
      </c>
      <c r="D104" s="7" t="s">
        <v>273</v>
      </c>
      <c r="E104" s="18" t="n">
        <v>35204936.33</v>
      </c>
      <c r="F104" s="24" t="str">
        <f aca="false">IF(E104&gt;=MUS_Parametros!$B$12,"SIM","NÃO")</f>
        <v>SIM</v>
      </c>
      <c r="G104" s="18" t="n">
        <v>35204936.33</v>
      </c>
      <c r="H104" s="21" t="n">
        <f aca="false">E104-G104</f>
        <v>0</v>
      </c>
      <c r="I104" s="25" t="str">
        <f aca="false">IF(F104="SIM","",H104/E104)</f>
        <v/>
      </c>
    </row>
    <row r="105" customFormat="false" ht="15" hidden="false" customHeight="false" outlineLevel="0" collapsed="false">
      <c r="A105" s="7" t="s">
        <v>395</v>
      </c>
      <c r="B105" s="7" t="s">
        <v>198</v>
      </c>
      <c r="C105" s="7" t="s">
        <v>280</v>
      </c>
      <c r="D105" s="7" t="s">
        <v>273</v>
      </c>
      <c r="E105" s="18" t="n">
        <v>47477.58</v>
      </c>
      <c r="F105" s="24" t="str">
        <f aca="false">IF(E105&gt;=MUS_Parametros!$B$12,"SIM","NÃO")</f>
        <v>NÃO</v>
      </c>
      <c r="G105" s="18" t="n">
        <v>47477.58</v>
      </c>
      <c r="H105" s="21" t="n">
        <f aca="false">E105-G105</f>
        <v>0</v>
      </c>
      <c r="I105" s="25" t="n">
        <f aca="false">IF(F105="SIM","",H105/E105)</f>
        <v>0</v>
      </c>
    </row>
    <row r="106" customFormat="false" ht="15" hidden="false" customHeight="false" outlineLevel="0" collapsed="false">
      <c r="A106" s="7" t="s">
        <v>396</v>
      </c>
      <c r="B106" s="7" t="s">
        <v>198</v>
      </c>
      <c r="C106" s="7" t="s">
        <v>283</v>
      </c>
      <c r="D106" s="7" t="s">
        <v>273</v>
      </c>
      <c r="E106" s="18" t="n">
        <v>256809.42</v>
      </c>
      <c r="F106" s="24" t="str">
        <f aca="false">IF(E106&gt;=MUS_Parametros!$B$12,"SIM","NÃO")</f>
        <v>NÃO</v>
      </c>
      <c r="G106" s="18" t="n">
        <v>256809.42</v>
      </c>
      <c r="H106" s="21" t="n">
        <f aca="false">E106-G106</f>
        <v>0</v>
      </c>
      <c r="I106" s="25" t="n">
        <f aca="false">IF(F106="SIM","",H106/E106)</f>
        <v>0</v>
      </c>
    </row>
    <row r="107" customFormat="false" ht="15" hidden="false" customHeight="false" outlineLevel="0" collapsed="false">
      <c r="A107" s="7" t="s">
        <v>397</v>
      </c>
      <c r="B107" s="7" t="s">
        <v>198</v>
      </c>
      <c r="C107" s="7" t="s">
        <v>287</v>
      </c>
      <c r="D107" s="7" t="s">
        <v>273</v>
      </c>
      <c r="E107" s="18" t="n">
        <v>521081.63</v>
      </c>
      <c r="F107" s="24" t="str">
        <f aca="false">IF(E107&gt;=MUS_Parametros!$B$12,"SIM","NÃO")</f>
        <v>NÃO</v>
      </c>
      <c r="G107" s="18" t="n">
        <v>521081.63</v>
      </c>
      <c r="H107" s="21" t="n">
        <f aca="false">E107-G107</f>
        <v>0</v>
      </c>
      <c r="I107" s="25" t="n">
        <f aca="false">IF(F107="SIM","",H107/E107)</f>
        <v>0</v>
      </c>
    </row>
    <row r="108" customFormat="false" ht="15" hidden="false" customHeight="false" outlineLevel="0" collapsed="false">
      <c r="A108" s="7" t="s">
        <v>398</v>
      </c>
      <c r="B108" s="7" t="s">
        <v>200</v>
      </c>
      <c r="C108" s="7" t="s">
        <v>399</v>
      </c>
      <c r="D108" s="7" t="s">
        <v>273</v>
      </c>
      <c r="E108" s="18" t="n">
        <v>31936327.72</v>
      </c>
      <c r="F108" s="24" t="str">
        <f aca="false">IF(E108&gt;=MUS_Parametros!$B$12,"SIM","NÃO")</f>
        <v>SIM</v>
      </c>
      <c r="G108" s="18" t="n">
        <v>31936327.72</v>
      </c>
      <c r="H108" s="21" t="n">
        <f aca="false">E108-G108</f>
        <v>0</v>
      </c>
      <c r="I108" s="25" t="str">
        <f aca="false">IF(F108="SIM","",H108/E108)</f>
        <v/>
      </c>
    </row>
    <row r="109" customFormat="false" ht="15" hidden="false" customHeight="false" outlineLevel="0" collapsed="false">
      <c r="A109" s="7" t="s">
        <v>400</v>
      </c>
      <c r="B109" s="7" t="s">
        <v>198</v>
      </c>
      <c r="C109" s="7" t="s">
        <v>280</v>
      </c>
      <c r="D109" s="7" t="s">
        <v>273</v>
      </c>
      <c r="E109" s="18" t="n">
        <v>43729.84</v>
      </c>
      <c r="F109" s="24" t="str">
        <f aca="false">IF(E109&gt;=MUS_Parametros!$B$12,"SIM","NÃO")</f>
        <v>NÃO</v>
      </c>
      <c r="G109" s="18" t="n">
        <v>43729.84</v>
      </c>
      <c r="H109" s="21" t="n">
        <f aca="false">E109-G109</f>
        <v>0</v>
      </c>
      <c r="I109" s="25" t="n">
        <f aca="false">IF(F109="SIM","",H109/E109)</f>
        <v>0</v>
      </c>
    </row>
    <row r="110" customFormat="false" ht="15" hidden="false" customHeight="false" outlineLevel="0" collapsed="false">
      <c r="A110" s="7" t="s">
        <v>401</v>
      </c>
      <c r="B110" s="7" t="s">
        <v>198</v>
      </c>
      <c r="C110" s="7" t="s">
        <v>402</v>
      </c>
      <c r="D110" s="7" t="s">
        <v>273</v>
      </c>
      <c r="E110" s="18" t="n">
        <v>562.3</v>
      </c>
      <c r="F110" s="24" t="str">
        <f aca="false">IF(E110&gt;=MUS_Parametros!$B$12,"SIM","NÃO")</f>
        <v>NÃO</v>
      </c>
      <c r="G110" s="18" t="n">
        <v>562.3</v>
      </c>
      <c r="H110" s="21" t="n">
        <f aca="false">E110-G110</f>
        <v>0</v>
      </c>
      <c r="I110" s="25" t="n">
        <f aca="false">IF(F110="SIM","",H110/E110)</f>
        <v>0</v>
      </c>
    </row>
    <row r="111" customFormat="false" ht="15" hidden="false" customHeight="false" outlineLevel="0" collapsed="false">
      <c r="A111" s="7" t="s">
        <v>403</v>
      </c>
      <c r="B111" s="7" t="s">
        <v>200</v>
      </c>
      <c r="C111" s="7" t="s">
        <v>404</v>
      </c>
      <c r="D111" s="7" t="s">
        <v>273</v>
      </c>
      <c r="E111" s="18" t="n">
        <v>29639583.58</v>
      </c>
      <c r="F111" s="24" t="str">
        <f aca="false">IF(E111&gt;=MUS_Parametros!$B$12,"SIM","NÃO")</f>
        <v>NÃO</v>
      </c>
      <c r="G111" s="18" t="n">
        <v>29639583.58</v>
      </c>
      <c r="H111" s="21" t="n">
        <f aca="false">E111-G111</f>
        <v>0</v>
      </c>
      <c r="I111" s="25" t="n">
        <f aca="false">IF(F111="SIM","",H111/E111)</f>
        <v>0</v>
      </c>
    </row>
    <row r="112" customFormat="false" ht="15" hidden="false" customHeight="false" outlineLevel="0" collapsed="false">
      <c r="A112" s="7" t="s">
        <v>405</v>
      </c>
      <c r="B112" s="7" t="s">
        <v>198</v>
      </c>
      <c r="C112" s="7" t="s">
        <v>287</v>
      </c>
      <c r="D112" s="7" t="s">
        <v>273</v>
      </c>
      <c r="E112" s="18" t="n">
        <v>1062082.49</v>
      </c>
      <c r="F112" s="24" t="str">
        <f aca="false">IF(E112&gt;=MUS_Parametros!$B$12,"SIM","NÃO")</f>
        <v>NÃO</v>
      </c>
      <c r="G112" s="18" t="n">
        <v>1062082.49</v>
      </c>
      <c r="H112" s="21" t="n">
        <f aca="false">E112-G112</f>
        <v>0</v>
      </c>
      <c r="I112" s="25" t="n">
        <f aca="false">IF(F112="SIM","",H112/E112)</f>
        <v>0</v>
      </c>
    </row>
    <row r="113" customFormat="false" ht="15" hidden="false" customHeight="false" outlineLevel="0" collapsed="false">
      <c r="A113" s="7" t="s">
        <v>406</v>
      </c>
      <c r="B113" s="7" t="s">
        <v>198</v>
      </c>
      <c r="C113" s="7" t="s">
        <v>287</v>
      </c>
      <c r="D113" s="7" t="s">
        <v>273</v>
      </c>
      <c r="E113" s="18" t="n">
        <v>317807.72</v>
      </c>
      <c r="F113" s="24" t="str">
        <f aca="false">IF(E113&gt;=MUS_Parametros!$B$12,"SIM","NÃO")</f>
        <v>NÃO</v>
      </c>
      <c r="G113" s="18" t="n">
        <v>317807.72</v>
      </c>
      <c r="H113" s="21" t="n">
        <f aca="false">E113-G113</f>
        <v>0</v>
      </c>
      <c r="I113" s="25" t="n">
        <f aca="false">IF(F113="SIM","",H113/E113)</f>
        <v>0</v>
      </c>
    </row>
    <row r="114" customFormat="false" ht="15" hidden="false" customHeight="false" outlineLevel="0" collapsed="false">
      <c r="A114" s="7" t="s">
        <v>407</v>
      </c>
      <c r="B114" s="7" t="s">
        <v>198</v>
      </c>
      <c r="C114" s="7" t="s">
        <v>283</v>
      </c>
      <c r="D114" s="7" t="s">
        <v>273</v>
      </c>
      <c r="E114" s="18" t="n">
        <v>411797.59</v>
      </c>
      <c r="F114" s="24" t="str">
        <f aca="false">IF(E114&gt;=MUS_Parametros!$B$12,"SIM","NÃO")</f>
        <v>NÃO</v>
      </c>
      <c r="G114" s="18" t="n">
        <v>411797.59</v>
      </c>
      <c r="H114" s="21" t="n">
        <f aca="false">E114-G114</f>
        <v>0</v>
      </c>
      <c r="I114" s="25" t="n">
        <f aca="false">IF(F114="SIM","",H114/E114)</f>
        <v>0</v>
      </c>
    </row>
    <row r="115" customFormat="false" ht="15" hidden="false" customHeight="false" outlineLevel="0" collapsed="false">
      <c r="A115" s="7" t="s">
        <v>408</v>
      </c>
      <c r="B115" s="7" t="s">
        <v>198</v>
      </c>
      <c r="C115" s="7" t="s">
        <v>287</v>
      </c>
      <c r="D115" s="7" t="s">
        <v>273</v>
      </c>
      <c r="E115" s="18" t="n">
        <v>852665.93</v>
      </c>
      <c r="F115" s="24" t="str">
        <f aca="false">IF(E115&gt;=MUS_Parametros!$B$12,"SIM","NÃO")</f>
        <v>NÃO</v>
      </c>
      <c r="G115" s="18" t="n">
        <v>852665.93</v>
      </c>
      <c r="H115" s="21" t="n">
        <f aca="false">E115-G115</f>
        <v>0</v>
      </c>
      <c r="I115" s="25" t="n">
        <f aca="false">IF(F115="SIM","",H115/E115)</f>
        <v>0</v>
      </c>
    </row>
    <row r="116" customFormat="false" ht="15" hidden="false" customHeight="false" outlineLevel="0" collapsed="false">
      <c r="A116" s="7" t="s">
        <v>409</v>
      </c>
      <c r="B116" s="7" t="s">
        <v>200</v>
      </c>
      <c r="C116" s="7" t="s">
        <v>410</v>
      </c>
      <c r="D116" s="7" t="s">
        <v>273</v>
      </c>
      <c r="E116" s="18" t="n">
        <v>52950341.07</v>
      </c>
      <c r="F116" s="24" t="str">
        <f aca="false">IF(E116&gt;=MUS_Parametros!$B$12,"SIM","NÃO")</f>
        <v>SIM</v>
      </c>
      <c r="G116" s="18" t="n">
        <v>52950341.07</v>
      </c>
      <c r="H116" s="21" t="n">
        <f aca="false">E116-G116</f>
        <v>0</v>
      </c>
      <c r="I116" s="25" t="str">
        <f aca="false">IF(F116="SIM","",H116/E116)</f>
        <v/>
      </c>
    </row>
    <row r="117" customFormat="false" ht="15" hidden="false" customHeight="false" outlineLevel="0" collapsed="false">
      <c r="A117" s="7" t="s">
        <v>411</v>
      </c>
      <c r="B117" s="7" t="s">
        <v>198</v>
      </c>
      <c r="C117" s="7" t="s">
        <v>280</v>
      </c>
      <c r="D117" s="7" t="s">
        <v>273</v>
      </c>
      <c r="E117" s="18" t="n">
        <v>84733.3</v>
      </c>
      <c r="F117" s="24" t="str">
        <f aca="false">IF(E117&gt;=MUS_Parametros!$B$12,"SIM","NÃO")</f>
        <v>NÃO</v>
      </c>
      <c r="G117" s="18" t="n">
        <v>84733.3</v>
      </c>
      <c r="H117" s="21" t="n">
        <f aca="false">E117-G117</f>
        <v>0</v>
      </c>
      <c r="I117" s="25" t="n">
        <f aca="false">IF(F117="SIM","",H117/E117)</f>
        <v>0</v>
      </c>
    </row>
    <row r="118" customFormat="false" ht="15" hidden="false" customHeight="false" outlineLevel="0" collapsed="false">
      <c r="A118" s="7" t="s">
        <v>412</v>
      </c>
      <c r="B118" s="7" t="s">
        <v>198</v>
      </c>
      <c r="C118" s="7" t="s">
        <v>287</v>
      </c>
      <c r="D118" s="7" t="s">
        <v>273</v>
      </c>
      <c r="E118" s="18" t="n">
        <v>780724.11</v>
      </c>
      <c r="F118" s="24" t="str">
        <f aca="false">IF(E118&gt;=MUS_Parametros!$B$12,"SIM","NÃO")</f>
        <v>NÃO</v>
      </c>
      <c r="G118" s="18" t="n">
        <v>780724.11</v>
      </c>
      <c r="H118" s="21" t="n">
        <f aca="false">E118-G118</f>
        <v>0</v>
      </c>
      <c r="I118" s="25" t="n">
        <f aca="false">IF(F118="SIM","",H118/E118)</f>
        <v>0</v>
      </c>
    </row>
    <row r="119" customFormat="false" ht="15" hidden="false" customHeight="false" outlineLevel="0" collapsed="false">
      <c r="A119" s="7" t="s">
        <v>413</v>
      </c>
      <c r="B119" s="7" t="s">
        <v>198</v>
      </c>
      <c r="C119" s="7" t="s">
        <v>272</v>
      </c>
      <c r="D119" s="7" t="s">
        <v>273</v>
      </c>
      <c r="E119" s="18" t="n">
        <v>1010722.31</v>
      </c>
      <c r="F119" s="24" t="str">
        <f aca="false">IF(E119&gt;=MUS_Parametros!$B$12,"SIM","NÃO")</f>
        <v>NÃO</v>
      </c>
      <c r="G119" s="18" t="n">
        <v>1010722.31</v>
      </c>
      <c r="H119" s="21" t="n">
        <f aca="false">E119-G119</f>
        <v>0</v>
      </c>
      <c r="I119" s="25" t="n">
        <f aca="false">IF(F119="SIM","",H119/E119)</f>
        <v>0</v>
      </c>
    </row>
    <row r="120" customFormat="false" ht="15" hidden="false" customHeight="false" outlineLevel="0" collapsed="false">
      <c r="A120" s="7" t="s">
        <v>414</v>
      </c>
      <c r="B120" s="7" t="s">
        <v>198</v>
      </c>
      <c r="C120" s="7" t="s">
        <v>285</v>
      </c>
      <c r="D120" s="7" t="s">
        <v>273</v>
      </c>
      <c r="E120" s="18" t="n">
        <v>17577.47</v>
      </c>
      <c r="F120" s="24" t="str">
        <f aca="false">IF(E120&gt;=MUS_Parametros!$B$12,"SIM","NÃO")</f>
        <v>NÃO</v>
      </c>
      <c r="G120" s="18" t="n">
        <v>17577.47</v>
      </c>
      <c r="H120" s="21" t="n">
        <f aca="false">E120-G120</f>
        <v>0</v>
      </c>
      <c r="I120" s="25" t="n">
        <f aca="false">IF(F120="SIM","",H120/E120)</f>
        <v>0</v>
      </c>
    </row>
    <row r="121" customFormat="false" ht="15" hidden="false" customHeight="false" outlineLevel="0" collapsed="false">
      <c r="A121" s="7" t="s">
        <v>415</v>
      </c>
      <c r="B121" s="7" t="s">
        <v>198</v>
      </c>
      <c r="C121" s="7" t="s">
        <v>287</v>
      </c>
      <c r="D121" s="7" t="s">
        <v>273</v>
      </c>
      <c r="E121" s="18" t="n">
        <v>1161553.03</v>
      </c>
      <c r="F121" s="24" t="str">
        <f aca="false">IF(E121&gt;=MUS_Parametros!$B$12,"SIM","NÃO")</f>
        <v>NÃO</v>
      </c>
      <c r="G121" s="18" t="n">
        <v>1161553.03</v>
      </c>
      <c r="H121" s="21" t="n">
        <f aca="false">E121-G121</f>
        <v>0</v>
      </c>
      <c r="I121" s="25" t="n">
        <f aca="false">IF(F121="SIM","",H121/E121)</f>
        <v>0</v>
      </c>
    </row>
    <row r="122" customFormat="false" ht="15" hidden="false" customHeight="false" outlineLevel="0" collapsed="false">
      <c r="A122" s="7" t="s">
        <v>416</v>
      </c>
      <c r="B122" s="7" t="s">
        <v>198</v>
      </c>
      <c r="C122" s="7" t="s">
        <v>283</v>
      </c>
      <c r="D122" s="7" t="s">
        <v>273</v>
      </c>
      <c r="E122" s="18" t="n">
        <v>756515.87</v>
      </c>
      <c r="F122" s="24" t="str">
        <f aca="false">IF(E122&gt;=MUS_Parametros!$B$12,"SIM","NÃO")</f>
        <v>NÃO</v>
      </c>
      <c r="G122" s="18" t="n">
        <v>756515.87</v>
      </c>
      <c r="H122" s="21" t="n">
        <f aca="false">E122-G122</f>
        <v>0</v>
      </c>
      <c r="I122" s="25" t="n">
        <f aca="false">IF(F122="SIM","",H122/E122)</f>
        <v>0</v>
      </c>
    </row>
    <row r="123" customFormat="false" ht="15" hidden="false" customHeight="false" outlineLevel="0" collapsed="false">
      <c r="A123" s="7" t="s">
        <v>417</v>
      </c>
      <c r="B123" s="7" t="s">
        <v>198</v>
      </c>
      <c r="C123" s="7" t="s">
        <v>272</v>
      </c>
      <c r="D123" s="7" t="s">
        <v>273</v>
      </c>
      <c r="E123" s="18" t="n">
        <v>1846834.09</v>
      </c>
      <c r="F123" s="24" t="str">
        <f aca="false">IF(E123&gt;=MUS_Parametros!$B$12,"SIM","NÃO")</f>
        <v>NÃO</v>
      </c>
      <c r="G123" s="18" t="n">
        <v>1846834.09</v>
      </c>
      <c r="H123" s="21" t="n">
        <f aca="false">E123-G123</f>
        <v>0</v>
      </c>
      <c r="I123" s="25" t="n">
        <f aca="false">IF(F123="SIM","",H123/E123)</f>
        <v>0</v>
      </c>
    </row>
    <row r="124" customFormat="false" ht="15" hidden="false" customHeight="false" outlineLevel="0" collapsed="false">
      <c r="A124" s="7" t="s">
        <v>418</v>
      </c>
      <c r="B124" s="7" t="s">
        <v>208</v>
      </c>
      <c r="C124" s="7" t="s">
        <v>419</v>
      </c>
      <c r="D124" s="7" t="s">
        <v>273</v>
      </c>
      <c r="E124" s="18" t="n">
        <v>79778500</v>
      </c>
      <c r="F124" s="24" t="str">
        <f aca="false">IF(E124&gt;=MUS_Parametros!$B$12,"SIM","NÃO")</f>
        <v>SIM</v>
      </c>
      <c r="G124" s="18" t="n">
        <v>79778500</v>
      </c>
      <c r="H124" s="21" t="n">
        <f aca="false">E124-G124</f>
        <v>0</v>
      </c>
      <c r="I124" s="25" t="str">
        <f aca="false">IF(F124="SIM","",H124/E124)</f>
        <v/>
      </c>
    </row>
    <row r="125" customFormat="false" ht="15" hidden="false" customHeight="false" outlineLevel="0" collapsed="false">
      <c r="A125" s="7" t="s">
        <v>420</v>
      </c>
      <c r="B125" s="7" t="s">
        <v>198</v>
      </c>
      <c r="C125" s="7" t="s">
        <v>280</v>
      </c>
      <c r="D125" s="7" t="s">
        <v>273</v>
      </c>
      <c r="E125" s="18" t="n">
        <v>33627.18</v>
      </c>
      <c r="F125" s="24" t="str">
        <f aca="false">IF(E125&gt;=MUS_Parametros!$B$12,"SIM","NÃO")</f>
        <v>NÃO</v>
      </c>
      <c r="G125" s="18" t="n">
        <v>33627.18</v>
      </c>
      <c r="H125" s="21" t="n">
        <f aca="false">E125-G125</f>
        <v>0</v>
      </c>
      <c r="I125" s="25" t="n">
        <f aca="false">IF(F125="SIM","",H125/E125)</f>
        <v>0</v>
      </c>
    </row>
    <row r="126" customFormat="false" ht="15" hidden="false" customHeight="false" outlineLevel="0" collapsed="false">
      <c r="A126" s="7" t="s">
        <v>421</v>
      </c>
      <c r="B126" s="7" t="s">
        <v>198</v>
      </c>
      <c r="C126" s="7" t="s">
        <v>287</v>
      </c>
      <c r="D126" s="7" t="s">
        <v>273</v>
      </c>
      <c r="E126" s="18" t="n">
        <v>661236.88</v>
      </c>
      <c r="F126" s="24" t="str">
        <f aca="false">IF(E126&gt;=MUS_Parametros!$B$12,"SIM","NÃO")</f>
        <v>NÃO</v>
      </c>
      <c r="G126" s="18" t="n">
        <v>661236.88</v>
      </c>
      <c r="H126" s="21" t="n">
        <f aca="false">E126-G126</f>
        <v>0</v>
      </c>
      <c r="I126" s="25" t="n">
        <f aca="false">IF(F126="SIM","",H126/E126)</f>
        <v>0</v>
      </c>
    </row>
    <row r="127" customFormat="false" ht="15" hidden="false" customHeight="false" outlineLevel="0" collapsed="false">
      <c r="A127" s="7" t="s">
        <v>422</v>
      </c>
      <c r="B127" s="7" t="s">
        <v>198</v>
      </c>
      <c r="C127" s="7" t="s">
        <v>287</v>
      </c>
      <c r="D127" s="7" t="s">
        <v>273</v>
      </c>
      <c r="E127" s="18" t="n">
        <v>479148.13</v>
      </c>
      <c r="F127" s="24" t="str">
        <f aca="false">IF(E127&gt;=MUS_Parametros!$B$12,"SIM","NÃO")</f>
        <v>NÃO</v>
      </c>
      <c r="G127" s="18" t="n">
        <v>479148.13</v>
      </c>
      <c r="H127" s="21" t="n">
        <f aca="false">E127-G127</f>
        <v>0</v>
      </c>
      <c r="I127" s="25" t="n">
        <f aca="false">IF(F127="SIM","",H127/E127)</f>
        <v>0</v>
      </c>
    </row>
    <row r="128" customFormat="false" ht="15" hidden="false" customHeight="false" outlineLevel="0" collapsed="false">
      <c r="A128" s="7" t="s">
        <v>423</v>
      </c>
      <c r="B128" s="7" t="s">
        <v>198</v>
      </c>
      <c r="C128" s="7" t="s">
        <v>272</v>
      </c>
      <c r="D128" s="7" t="s">
        <v>273</v>
      </c>
      <c r="E128" s="18" t="n">
        <v>1785137.53</v>
      </c>
      <c r="F128" s="24" t="str">
        <f aca="false">IF(E128&gt;=MUS_Parametros!$B$12,"SIM","NÃO")</f>
        <v>NÃO</v>
      </c>
      <c r="G128" s="18" t="n">
        <v>1785137.53</v>
      </c>
      <c r="H128" s="21" t="n">
        <f aca="false">E128-G128</f>
        <v>0</v>
      </c>
      <c r="I128" s="25" t="n">
        <f aca="false">IF(F128="SIM","",H128/E128)</f>
        <v>0</v>
      </c>
    </row>
    <row r="129" customFormat="false" ht="15" hidden="false" customHeight="false" outlineLevel="0" collapsed="false">
      <c r="A129" s="7" t="s">
        <v>424</v>
      </c>
      <c r="B129" s="7" t="s">
        <v>198</v>
      </c>
      <c r="C129" s="7" t="s">
        <v>272</v>
      </c>
      <c r="D129" s="7" t="s">
        <v>273</v>
      </c>
      <c r="E129" s="18" t="n">
        <v>3708623.57</v>
      </c>
      <c r="F129" s="24" t="str">
        <f aca="false">IF(E129&gt;=MUS_Parametros!$B$12,"SIM","NÃO")</f>
        <v>NÃO</v>
      </c>
      <c r="G129" s="18" t="n">
        <v>3708623.57</v>
      </c>
      <c r="H129" s="21" t="n">
        <f aca="false">E129-G129</f>
        <v>0</v>
      </c>
      <c r="I129" s="25" t="n">
        <f aca="false">IF(F129="SIM","",H129/E129)</f>
        <v>0</v>
      </c>
    </row>
    <row r="130" customFormat="false" ht="15" hidden="false" customHeight="false" outlineLevel="0" collapsed="false">
      <c r="A130" s="7" t="s">
        <v>425</v>
      </c>
      <c r="B130" s="7" t="s">
        <v>198</v>
      </c>
      <c r="C130" s="7" t="s">
        <v>283</v>
      </c>
      <c r="D130" s="7" t="s">
        <v>273</v>
      </c>
      <c r="E130" s="18" t="n">
        <v>90847.15</v>
      </c>
      <c r="F130" s="24" t="str">
        <f aca="false">IF(E130&gt;=MUS_Parametros!$B$12,"SIM","NÃO")</f>
        <v>NÃO</v>
      </c>
      <c r="G130" s="18" t="n">
        <v>90847.15</v>
      </c>
      <c r="H130" s="21" t="n">
        <f aca="false">E130-G130</f>
        <v>0</v>
      </c>
      <c r="I130" s="25" t="n">
        <f aca="false">IF(F130="SIM","",H130/E130)</f>
        <v>0</v>
      </c>
    </row>
    <row r="131" customFormat="false" ht="15" hidden="false" customHeight="false" outlineLevel="0" collapsed="false">
      <c r="A131" s="7" t="s">
        <v>426</v>
      </c>
      <c r="B131" s="7" t="s">
        <v>198</v>
      </c>
      <c r="C131" s="7" t="s">
        <v>287</v>
      </c>
      <c r="D131" s="7" t="s">
        <v>273</v>
      </c>
      <c r="E131" s="18" t="n">
        <v>940154.2</v>
      </c>
      <c r="F131" s="24" t="str">
        <f aca="false">IF(E131&gt;=MUS_Parametros!$B$12,"SIM","NÃO")</f>
        <v>NÃO</v>
      </c>
      <c r="G131" s="18" t="n">
        <v>940154.2</v>
      </c>
      <c r="H131" s="21" t="n">
        <f aca="false">E131-G131</f>
        <v>0</v>
      </c>
      <c r="I131" s="25" t="n">
        <f aca="false">IF(F131="SIM","",H131/E131)</f>
        <v>0</v>
      </c>
    </row>
    <row r="132" customFormat="false" ht="15" hidden="false" customHeight="false" outlineLevel="0" collapsed="false">
      <c r="A132" s="7" t="s">
        <v>427</v>
      </c>
      <c r="B132" s="7" t="s">
        <v>198</v>
      </c>
      <c r="C132" s="7" t="s">
        <v>280</v>
      </c>
      <c r="D132" s="7" t="s">
        <v>273</v>
      </c>
      <c r="E132" s="18" t="n">
        <v>109729.19</v>
      </c>
      <c r="F132" s="24" t="str">
        <f aca="false">IF(E132&gt;=MUS_Parametros!$B$12,"SIM","NÃO")</f>
        <v>NÃO</v>
      </c>
      <c r="G132" s="18" t="n">
        <v>109729.19</v>
      </c>
      <c r="H132" s="21" t="n">
        <f aca="false">E132-G132</f>
        <v>0</v>
      </c>
      <c r="I132" s="25" t="n">
        <f aca="false">IF(F132="SIM","",H132/E132)</f>
        <v>0</v>
      </c>
    </row>
    <row r="133" customFormat="false" ht="15" hidden="false" customHeight="false" outlineLevel="0" collapsed="false">
      <c r="A133" s="7" t="s">
        <v>428</v>
      </c>
      <c r="B133" s="7" t="s">
        <v>198</v>
      </c>
      <c r="C133" s="7" t="s">
        <v>272</v>
      </c>
      <c r="D133" s="7" t="s">
        <v>273</v>
      </c>
      <c r="E133" s="18" t="n">
        <v>3089144.81</v>
      </c>
      <c r="F133" s="24" t="str">
        <f aca="false">IF(E133&gt;=MUS_Parametros!$B$12,"SIM","NÃO")</f>
        <v>NÃO</v>
      </c>
      <c r="G133" s="18" t="n">
        <v>3089144.81</v>
      </c>
      <c r="H133" s="21" t="n">
        <f aca="false">E133-G133</f>
        <v>0</v>
      </c>
      <c r="I133" s="25" t="n">
        <f aca="false">IF(F133="SIM","",H133/E133)</f>
        <v>0</v>
      </c>
    </row>
    <row r="134" customFormat="false" ht="15" hidden="false" customHeight="false" outlineLevel="0" collapsed="false">
      <c r="A134" s="7" t="s">
        <v>429</v>
      </c>
      <c r="B134" s="7" t="s">
        <v>198</v>
      </c>
      <c r="C134" s="7" t="s">
        <v>272</v>
      </c>
      <c r="D134" s="7" t="s">
        <v>273</v>
      </c>
      <c r="E134" s="18" t="n">
        <v>4192627.83</v>
      </c>
      <c r="F134" s="24" t="str">
        <f aca="false">IF(E134&gt;=MUS_Parametros!$B$12,"SIM","NÃO")</f>
        <v>NÃO</v>
      </c>
      <c r="G134" s="18" t="n">
        <v>4192627.83</v>
      </c>
      <c r="H134" s="21" t="n">
        <f aca="false">E134-G134</f>
        <v>0</v>
      </c>
      <c r="I134" s="25" t="n">
        <f aca="false">IF(F134="SIM","",H134/E134)</f>
        <v>0</v>
      </c>
    </row>
    <row r="135" customFormat="false" ht="15" hidden="false" customHeight="false" outlineLevel="0" collapsed="false">
      <c r="A135" s="7" t="s">
        <v>430</v>
      </c>
      <c r="B135" s="7" t="s">
        <v>198</v>
      </c>
      <c r="C135" s="7" t="s">
        <v>287</v>
      </c>
      <c r="D135" s="7" t="s">
        <v>273</v>
      </c>
      <c r="E135" s="18" t="n">
        <v>2111037.58</v>
      </c>
      <c r="F135" s="24" t="str">
        <f aca="false">IF(E135&gt;=MUS_Parametros!$B$12,"SIM","NÃO")</f>
        <v>NÃO</v>
      </c>
      <c r="G135" s="18" t="n">
        <v>2111037.58</v>
      </c>
      <c r="H135" s="21" t="n">
        <f aca="false">E135-G135</f>
        <v>0</v>
      </c>
      <c r="I135" s="25" t="n">
        <f aca="false">IF(F135="SIM","",H135/E135)</f>
        <v>0</v>
      </c>
    </row>
    <row r="136" customFormat="false" ht="15" hidden="false" customHeight="false" outlineLevel="0" collapsed="false">
      <c r="A136" s="7" t="s">
        <v>431</v>
      </c>
      <c r="B136" s="7" t="s">
        <v>198</v>
      </c>
      <c r="C136" s="7" t="s">
        <v>287</v>
      </c>
      <c r="D136" s="7" t="s">
        <v>273</v>
      </c>
      <c r="E136" s="18" t="n">
        <v>189689.25</v>
      </c>
      <c r="F136" s="24" t="str">
        <f aca="false">IF(E136&gt;=MUS_Parametros!$B$12,"SIM","NÃO")</f>
        <v>NÃO</v>
      </c>
      <c r="G136" s="18" t="n">
        <v>189689.25</v>
      </c>
      <c r="H136" s="21" t="n">
        <f aca="false">E136-G136</f>
        <v>0</v>
      </c>
      <c r="I136" s="25" t="n">
        <f aca="false">IF(F136="SIM","",H136/E136)</f>
        <v>0</v>
      </c>
    </row>
    <row r="137" customFormat="false" ht="15" hidden="false" customHeight="false" outlineLevel="0" collapsed="false">
      <c r="A137" s="7" t="s">
        <v>432</v>
      </c>
      <c r="B137" s="7" t="s">
        <v>198</v>
      </c>
      <c r="C137" s="7" t="s">
        <v>287</v>
      </c>
      <c r="D137" s="7" t="s">
        <v>273</v>
      </c>
      <c r="E137" s="18" t="n">
        <v>2949419.07</v>
      </c>
      <c r="F137" s="24" t="str">
        <f aca="false">IF(E137&gt;=MUS_Parametros!$B$12,"SIM","NÃO")</f>
        <v>NÃO</v>
      </c>
      <c r="G137" s="18" t="n">
        <v>2949419.07</v>
      </c>
      <c r="H137" s="21" t="n">
        <f aca="false">E137-G137</f>
        <v>0</v>
      </c>
      <c r="I137" s="25" t="n">
        <f aca="false">IF(F137="SIM","",H137/E137)</f>
        <v>0</v>
      </c>
    </row>
    <row r="138" customFormat="false" ht="15" hidden="false" customHeight="false" outlineLevel="0" collapsed="false">
      <c r="A138" s="7" t="s">
        <v>433</v>
      </c>
      <c r="B138" s="7" t="s">
        <v>198</v>
      </c>
      <c r="C138" s="7" t="s">
        <v>280</v>
      </c>
      <c r="D138" s="7" t="s">
        <v>273</v>
      </c>
      <c r="E138" s="18" t="n">
        <v>27155.37</v>
      </c>
      <c r="F138" s="24" t="str">
        <f aca="false">IF(E138&gt;=MUS_Parametros!$B$12,"SIM","NÃO")</f>
        <v>NÃO</v>
      </c>
      <c r="G138" s="18" t="n">
        <v>27155.37</v>
      </c>
      <c r="H138" s="21" t="n">
        <f aca="false">E138-G138</f>
        <v>0</v>
      </c>
      <c r="I138" s="25" t="n">
        <f aca="false">IF(F138="SIM","",H138/E138)</f>
        <v>0</v>
      </c>
    </row>
    <row r="139" customFormat="false" ht="15" hidden="false" customHeight="false" outlineLevel="0" collapsed="false">
      <c r="A139" s="7" t="s">
        <v>434</v>
      </c>
      <c r="B139" s="7" t="s">
        <v>198</v>
      </c>
      <c r="C139" s="7" t="s">
        <v>287</v>
      </c>
      <c r="D139" s="7" t="s">
        <v>273</v>
      </c>
      <c r="E139" s="18" t="n">
        <v>1900456.27</v>
      </c>
      <c r="F139" s="24" t="str">
        <f aca="false">IF(E139&gt;=MUS_Parametros!$B$12,"SIM","NÃO")</f>
        <v>NÃO</v>
      </c>
      <c r="G139" s="18" t="n">
        <v>1900456.27</v>
      </c>
      <c r="H139" s="21" t="n">
        <f aca="false">E139-G139</f>
        <v>0</v>
      </c>
      <c r="I139" s="25" t="n">
        <f aca="false">IF(F139="SIM","",H139/E139)</f>
        <v>0</v>
      </c>
    </row>
    <row r="140" customFormat="false" ht="15" hidden="false" customHeight="false" outlineLevel="0" collapsed="false">
      <c r="A140" s="7" t="s">
        <v>435</v>
      </c>
      <c r="B140" s="7" t="s">
        <v>198</v>
      </c>
      <c r="C140" s="7" t="s">
        <v>287</v>
      </c>
      <c r="D140" s="7" t="s">
        <v>273</v>
      </c>
      <c r="E140" s="18" t="n">
        <v>1291295.68</v>
      </c>
      <c r="F140" s="24" t="str">
        <f aca="false">IF(E140&gt;=MUS_Parametros!$B$12,"SIM","NÃO")</f>
        <v>NÃO</v>
      </c>
      <c r="G140" s="18" t="n">
        <v>1291295.68</v>
      </c>
      <c r="H140" s="21" t="n">
        <f aca="false">E140-G140</f>
        <v>0</v>
      </c>
      <c r="I140" s="25" t="n">
        <f aca="false">IF(F140="SIM","",H140/E140)</f>
        <v>0</v>
      </c>
    </row>
    <row r="141" customFormat="false" ht="15" hidden="false" customHeight="false" outlineLevel="0" collapsed="false">
      <c r="A141" s="7" t="s">
        <v>436</v>
      </c>
      <c r="B141" s="7" t="s">
        <v>198</v>
      </c>
      <c r="C141" s="7" t="s">
        <v>272</v>
      </c>
      <c r="D141" s="7" t="s">
        <v>273</v>
      </c>
      <c r="E141" s="18" t="n">
        <v>1370448.23</v>
      </c>
      <c r="F141" s="24" t="str">
        <f aca="false">IF(E141&gt;=MUS_Parametros!$B$12,"SIM","NÃO")</f>
        <v>NÃO</v>
      </c>
      <c r="G141" s="18" t="n">
        <v>1370448.23</v>
      </c>
      <c r="H141" s="21" t="n">
        <f aca="false">E141-G141</f>
        <v>0</v>
      </c>
      <c r="I141" s="25" t="n">
        <f aca="false">IF(F141="SIM","",H141/E141)</f>
        <v>0</v>
      </c>
    </row>
    <row r="142" customFormat="false" ht="15" hidden="false" customHeight="false" outlineLevel="0" collapsed="false">
      <c r="A142" s="7" t="s">
        <v>437</v>
      </c>
      <c r="B142" s="7" t="s">
        <v>198</v>
      </c>
      <c r="C142" s="7" t="s">
        <v>272</v>
      </c>
      <c r="D142" s="7" t="s">
        <v>273</v>
      </c>
      <c r="E142" s="18" t="n">
        <v>1124463.89</v>
      </c>
      <c r="F142" s="24" t="str">
        <f aca="false">IF(E142&gt;=MUS_Parametros!$B$12,"SIM","NÃO")</f>
        <v>NÃO</v>
      </c>
      <c r="G142" s="18" t="n">
        <v>1124463.89</v>
      </c>
      <c r="H142" s="21" t="n">
        <f aca="false">E142-G142</f>
        <v>0</v>
      </c>
      <c r="I142" s="25" t="n">
        <f aca="false">IF(F142="SIM","",H142/E142)</f>
        <v>0</v>
      </c>
    </row>
    <row r="143" customFormat="false" ht="15" hidden="false" customHeight="false" outlineLevel="0" collapsed="false">
      <c r="A143" s="7" t="s">
        <v>438</v>
      </c>
      <c r="B143" s="7" t="s">
        <v>198</v>
      </c>
      <c r="C143" s="7" t="s">
        <v>280</v>
      </c>
      <c r="D143" s="7" t="s">
        <v>273</v>
      </c>
      <c r="E143" s="18" t="n">
        <v>49519.01</v>
      </c>
      <c r="F143" s="24" t="str">
        <f aca="false">IF(E143&gt;=MUS_Parametros!$B$12,"SIM","NÃO")</f>
        <v>NÃO</v>
      </c>
      <c r="G143" s="18" t="n">
        <v>49519.01</v>
      </c>
      <c r="H143" s="21" t="n">
        <f aca="false">E143-G143</f>
        <v>0</v>
      </c>
      <c r="I143" s="25" t="n">
        <f aca="false">IF(F143="SIM","",H143/E143)</f>
        <v>0</v>
      </c>
    </row>
    <row r="144" customFormat="false" ht="15" hidden="false" customHeight="false" outlineLevel="0" collapsed="false">
      <c r="A144" s="7" t="s">
        <v>439</v>
      </c>
      <c r="B144" s="7" t="s">
        <v>198</v>
      </c>
      <c r="C144" s="7" t="s">
        <v>287</v>
      </c>
      <c r="D144" s="7" t="s">
        <v>273</v>
      </c>
      <c r="E144" s="18" t="n">
        <v>855097.12</v>
      </c>
      <c r="F144" s="24" t="str">
        <f aca="false">IF(E144&gt;=MUS_Parametros!$B$12,"SIM","NÃO")</f>
        <v>NÃO</v>
      </c>
      <c r="G144" s="18" t="n">
        <v>855097.12</v>
      </c>
      <c r="H144" s="21" t="n">
        <f aca="false">E144-G144</f>
        <v>0</v>
      </c>
      <c r="I144" s="25" t="n">
        <f aca="false">IF(F144="SIM","",H144/E144)</f>
        <v>0</v>
      </c>
    </row>
    <row r="145" customFormat="false" ht="15" hidden="false" customHeight="false" outlineLevel="0" collapsed="false">
      <c r="A145" s="7" t="s">
        <v>440</v>
      </c>
      <c r="B145" s="7" t="s">
        <v>198</v>
      </c>
      <c r="C145" s="7" t="s">
        <v>272</v>
      </c>
      <c r="D145" s="7" t="s">
        <v>273</v>
      </c>
      <c r="E145" s="18" t="n">
        <v>1935871.24</v>
      </c>
      <c r="F145" s="24" t="str">
        <f aca="false">IF(E145&gt;=MUS_Parametros!$B$12,"SIM","NÃO")</f>
        <v>NÃO</v>
      </c>
      <c r="G145" s="18" t="n">
        <v>1935871.24</v>
      </c>
      <c r="H145" s="21" t="n">
        <f aca="false">E145-G145</f>
        <v>0</v>
      </c>
      <c r="I145" s="25" t="n">
        <f aca="false">IF(F145="SIM","",H145/E145)</f>
        <v>0</v>
      </c>
    </row>
    <row r="146" customFormat="false" ht="15" hidden="false" customHeight="false" outlineLevel="0" collapsed="false">
      <c r="A146" s="7" t="s">
        <v>441</v>
      </c>
      <c r="B146" s="7" t="s">
        <v>198</v>
      </c>
      <c r="C146" s="7" t="s">
        <v>287</v>
      </c>
      <c r="D146" s="7" t="s">
        <v>273</v>
      </c>
      <c r="E146" s="18" t="n">
        <v>306546.98</v>
      </c>
      <c r="F146" s="24" t="str">
        <f aca="false">IF(E146&gt;=MUS_Parametros!$B$12,"SIM","NÃO")</f>
        <v>NÃO</v>
      </c>
      <c r="G146" s="18" t="n">
        <v>306546.98</v>
      </c>
      <c r="H146" s="21" t="n">
        <f aca="false">E146-G146</f>
        <v>0</v>
      </c>
      <c r="I146" s="25" t="n">
        <f aca="false">IF(F146="SIM","",H146/E146)</f>
        <v>0</v>
      </c>
    </row>
    <row r="147" customFormat="false" ht="15" hidden="false" customHeight="false" outlineLevel="0" collapsed="false">
      <c r="A147" s="7" t="s">
        <v>442</v>
      </c>
      <c r="B147" s="7" t="s">
        <v>198</v>
      </c>
      <c r="C147" s="7" t="s">
        <v>287</v>
      </c>
      <c r="D147" s="7" t="s">
        <v>273</v>
      </c>
      <c r="E147" s="18" t="n">
        <v>1920534.65</v>
      </c>
      <c r="F147" s="24" t="str">
        <f aca="false">IF(E147&gt;=MUS_Parametros!$B$12,"SIM","NÃO")</f>
        <v>NÃO</v>
      </c>
      <c r="G147" s="18" t="n">
        <v>1920534.65</v>
      </c>
      <c r="H147" s="21" t="n">
        <f aca="false">E147-G147</f>
        <v>0</v>
      </c>
      <c r="I147" s="25" t="n">
        <f aca="false">IF(F147="SIM","",H147/E147)</f>
        <v>0</v>
      </c>
    </row>
    <row r="148" customFormat="false" ht="15" hidden="false" customHeight="false" outlineLevel="0" collapsed="false">
      <c r="A148" s="7" t="s">
        <v>443</v>
      </c>
      <c r="B148" s="7" t="s">
        <v>198</v>
      </c>
      <c r="C148" s="7" t="s">
        <v>280</v>
      </c>
      <c r="D148" s="7" t="s">
        <v>273</v>
      </c>
      <c r="E148" s="18" t="n">
        <v>63167.39</v>
      </c>
      <c r="F148" s="24" t="str">
        <f aca="false">IF(E148&gt;=MUS_Parametros!$B$12,"SIM","NÃO")</f>
        <v>NÃO</v>
      </c>
      <c r="G148" s="18" t="n">
        <v>63167.39</v>
      </c>
      <c r="H148" s="21" t="n">
        <f aca="false">E148-G148</f>
        <v>0</v>
      </c>
      <c r="I148" s="25" t="n">
        <f aca="false">IF(F148="SIM","",H148/E148)</f>
        <v>0</v>
      </c>
    </row>
    <row r="149" customFormat="false" ht="15" hidden="false" customHeight="false" outlineLevel="0" collapsed="false">
      <c r="A149" s="7" t="s">
        <v>444</v>
      </c>
      <c r="B149" s="7" t="s">
        <v>198</v>
      </c>
      <c r="C149" s="7" t="s">
        <v>272</v>
      </c>
      <c r="D149" s="7" t="s">
        <v>273</v>
      </c>
      <c r="E149" s="18" t="n">
        <v>2774809.08</v>
      </c>
      <c r="F149" s="24" t="str">
        <f aca="false">IF(E149&gt;=MUS_Parametros!$B$12,"SIM","NÃO")</f>
        <v>NÃO</v>
      </c>
      <c r="G149" s="18" t="n">
        <v>2774809.08</v>
      </c>
      <c r="H149" s="21" t="n">
        <f aca="false">E149-G149</f>
        <v>0</v>
      </c>
      <c r="I149" s="25" t="n">
        <f aca="false">IF(F149="SIM","",H149/E149)</f>
        <v>0</v>
      </c>
    </row>
    <row r="150" customFormat="false" ht="15" hidden="false" customHeight="false" outlineLevel="0" collapsed="false">
      <c r="A150" s="7" t="s">
        <v>445</v>
      </c>
      <c r="B150" s="7" t="s">
        <v>198</v>
      </c>
      <c r="C150" s="7" t="s">
        <v>283</v>
      </c>
      <c r="D150" s="7" t="s">
        <v>273</v>
      </c>
      <c r="E150" s="18" t="n">
        <v>1850188.14</v>
      </c>
      <c r="F150" s="24" t="str">
        <f aca="false">IF(E150&gt;=MUS_Parametros!$B$12,"SIM","NÃO")</f>
        <v>NÃO</v>
      </c>
      <c r="G150" s="18" t="n">
        <v>1850188.14</v>
      </c>
      <c r="H150" s="21" t="n">
        <f aca="false">E150-G150</f>
        <v>0</v>
      </c>
      <c r="I150" s="25" t="n">
        <f aca="false">IF(F150="SIM","",H150/E150)</f>
        <v>0</v>
      </c>
    </row>
    <row r="151" customFormat="false" ht="15" hidden="false" customHeight="false" outlineLevel="0" collapsed="false">
      <c r="A151" s="7" t="s">
        <v>446</v>
      </c>
      <c r="B151" s="7" t="s">
        <v>198</v>
      </c>
      <c r="C151" s="7" t="s">
        <v>287</v>
      </c>
      <c r="D151" s="7" t="s">
        <v>273</v>
      </c>
      <c r="E151" s="18" t="n">
        <v>7376844.36</v>
      </c>
      <c r="F151" s="24" t="str">
        <f aca="false">IF(E151&gt;=MUS_Parametros!$B$12,"SIM","NÃO")</f>
        <v>NÃO</v>
      </c>
      <c r="G151" s="18" t="n">
        <v>7376844.36</v>
      </c>
      <c r="H151" s="21" t="n">
        <f aca="false">E151-G151</f>
        <v>0</v>
      </c>
      <c r="I151" s="25" t="n">
        <f aca="false">IF(F151="SIM","",H151/E151)</f>
        <v>0</v>
      </c>
    </row>
    <row r="152" customFormat="false" ht="15" hidden="false" customHeight="false" outlineLevel="0" collapsed="false">
      <c r="A152" s="7" t="s">
        <v>447</v>
      </c>
      <c r="B152" s="7" t="s">
        <v>198</v>
      </c>
      <c r="C152" s="7" t="s">
        <v>330</v>
      </c>
      <c r="D152" s="7" t="s">
        <v>273</v>
      </c>
      <c r="E152" s="18" t="n">
        <v>3197.93</v>
      </c>
      <c r="F152" s="24" t="str">
        <f aca="false">IF(E152&gt;=MUS_Parametros!$B$12,"SIM","NÃO")</f>
        <v>NÃO</v>
      </c>
      <c r="G152" s="18" t="n">
        <v>3197.93</v>
      </c>
      <c r="H152" s="21" t="n">
        <f aca="false">E152-G152</f>
        <v>0</v>
      </c>
      <c r="I152" s="25" t="n">
        <f aca="false">IF(F152="SIM","",H152/E152)</f>
        <v>0</v>
      </c>
    </row>
    <row r="153" customFormat="false" ht="15" hidden="false" customHeight="false" outlineLevel="0" collapsed="false">
      <c r="A153" s="7" t="s">
        <v>448</v>
      </c>
      <c r="B153" s="7" t="s">
        <v>198</v>
      </c>
      <c r="C153" s="7" t="s">
        <v>272</v>
      </c>
      <c r="D153" s="7" t="s">
        <v>273</v>
      </c>
      <c r="E153" s="18" t="n">
        <v>732262.2</v>
      </c>
      <c r="F153" s="24" t="str">
        <f aca="false">IF(E153&gt;=MUS_Parametros!$B$12,"SIM","NÃO")</f>
        <v>NÃO</v>
      </c>
      <c r="G153" s="18" t="n">
        <v>732262.2</v>
      </c>
      <c r="H153" s="21" t="n">
        <f aca="false">E153-G153</f>
        <v>0</v>
      </c>
      <c r="I153" s="25" t="n">
        <f aca="false">IF(F153="SIM","",H153/E153)</f>
        <v>0</v>
      </c>
    </row>
    <row r="154" customFormat="false" ht="15" hidden="false" customHeight="false" outlineLevel="0" collapsed="false">
      <c r="A154" s="7" t="s">
        <v>449</v>
      </c>
      <c r="B154" s="7" t="s">
        <v>198</v>
      </c>
      <c r="C154" s="7" t="s">
        <v>402</v>
      </c>
      <c r="D154" s="7" t="s">
        <v>273</v>
      </c>
      <c r="E154" s="18" t="n">
        <v>1233.22</v>
      </c>
      <c r="F154" s="24" t="str">
        <f aca="false">IF(E154&gt;=MUS_Parametros!$B$12,"SIM","NÃO")</f>
        <v>NÃO</v>
      </c>
      <c r="G154" s="18" t="n">
        <v>1233.22</v>
      </c>
      <c r="H154" s="21" t="n">
        <f aca="false">E154-G154</f>
        <v>0</v>
      </c>
      <c r="I154" s="25" t="n">
        <f aca="false">IF(F154="SIM","",H154/E154)</f>
        <v>0</v>
      </c>
    </row>
    <row r="155" customFormat="false" ht="15" hidden="false" customHeight="false" outlineLevel="0" collapsed="false">
      <c r="A155" s="7" t="s">
        <v>450</v>
      </c>
      <c r="B155" s="7" t="s">
        <v>198</v>
      </c>
      <c r="C155" s="7" t="s">
        <v>272</v>
      </c>
      <c r="D155" s="7" t="s">
        <v>273</v>
      </c>
      <c r="E155" s="18" t="n">
        <v>2296210.84</v>
      </c>
      <c r="F155" s="24" t="str">
        <f aca="false">IF(E155&gt;=MUS_Parametros!$B$12,"SIM","NÃO")</f>
        <v>NÃO</v>
      </c>
      <c r="G155" s="18" t="n">
        <v>2296210.84</v>
      </c>
      <c r="H155" s="21" t="n">
        <f aca="false">E155-G155</f>
        <v>0</v>
      </c>
      <c r="I155" s="25" t="n">
        <f aca="false">IF(F155="SIM","",H155/E155)</f>
        <v>0</v>
      </c>
    </row>
    <row r="156" customFormat="false" ht="15" hidden="false" customHeight="false" outlineLevel="0" collapsed="false">
      <c r="A156" s="7" t="s">
        <v>451</v>
      </c>
      <c r="B156" s="7" t="s">
        <v>198</v>
      </c>
      <c r="C156" s="7" t="s">
        <v>287</v>
      </c>
      <c r="D156" s="7" t="s">
        <v>273</v>
      </c>
      <c r="E156" s="18" t="n">
        <v>169172.5</v>
      </c>
      <c r="F156" s="24" t="str">
        <f aca="false">IF(E156&gt;=MUS_Parametros!$B$12,"SIM","NÃO")</f>
        <v>NÃO</v>
      </c>
      <c r="G156" s="18" t="n">
        <v>169172.5</v>
      </c>
      <c r="H156" s="21" t="n">
        <f aca="false">E156-G156</f>
        <v>0</v>
      </c>
      <c r="I156" s="25" t="n">
        <f aca="false">IF(F156="SIM","",H156/E156)</f>
        <v>0</v>
      </c>
    </row>
    <row r="157" customFormat="false" ht="15" hidden="false" customHeight="false" outlineLevel="0" collapsed="false">
      <c r="A157" s="7" t="s">
        <v>452</v>
      </c>
      <c r="B157" s="7" t="s">
        <v>198</v>
      </c>
      <c r="C157" s="7" t="s">
        <v>272</v>
      </c>
      <c r="D157" s="7" t="s">
        <v>273</v>
      </c>
      <c r="E157" s="18" t="n">
        <v>3457898.63</v>
      </c>
      <c r="F157" s="24" t="str">
        <f aca="false">IF(E157&gt;=MUS_Parametros!$B$12,"SIM","NÃO")</f>
        <v>NÃO</v>
      </c>
      <c r="G157" s="18" t="n">
        <v>3457898.63</v>
      </c>
      <c r="H157" s="21" t="n">
        <f aca="false">E157-G157</f>
        <v>0</v>
      </c>
      <c r="I157" s="25" t="n">
        <f aca="false">IF(F157="SIM","",H157/E157)</f>
        <v>0</v>
      </c>
    </row>
    <row r="158" customFormat="false" ht="15" hidden="false" customHeight="false" outlineLevel="0" collapsed="false">
      <c r="A158" s="7" t="s">
        <v>453</v>
      </c>
      <c r="B158" s="7" t="s">
        <v>210</v>
      </c>
      <c r="C158" s="7" t="s">
        <v>454</v>
      </c>
      <c r="D158" s="7" t="s">
        <v>273</v>
      </c>
      <c r="E158" s="18" t="n">
        <v>63601300.62</v>
      </c>
      <c r="F158" s="24" t="str">
        <f aca="false">IF(E158&gt;=MUS_Parametros!$B$12,"SIM","NÃO")</f>
        <v>SIM</v>
      </c>
      <c r="G158" s="18" t="n">
        <v>63601300.62</v>
      </c>
      <c r="H158" s="21" t="n">
        <f aca="false">E158-G158</f>
        <v>0</v>
      </c>
      <c r="I158" s="25" t="str">
        <f aca="false">IF(F158="SIM","",H158/E158)</f>
        <v/>
      </c>
    </row>
    <row r="159" customFormat="false" ht="15" hidden="false" customHeight="false" outlineLevel="0" collapsed="false">
      <c r="A159" s="7" t="s">
        <v>455</v>
      </c>
      <c r="B159" s="7" t="s">
        <v>198</v>
      </c>
      <c r="C159" s="7" t="s">
        <v>272</v>
      </c>
      <c r="D159" s="7" t="s">
        <v>273</v>
      </c>
      <c r="E159" s="18" t="n">
        <v>7744172.28</v>
      </c>
      <c r="F159" s="24" t="str">
        <f aca="false">IF(E159&gt;=MUS_Parametros!$B$12,"SIM","NÃO")</f>
        <v>NÃO</v>
      </c>
      <c r="G159" s="18" t="n">
        <v>7744172.28</v>
      </c>
      <c r="H159" s="21" t="n">
        <f aca="false">E159-G159</f>
        <v>0</v>
      </c>
      <c r="I159" s="25" t="n">
        <f aca="false">IF(F159="SIM","",H159/E159)</f>
        <v>0</v>
      </c>
    </row>
    <row r="160" customFormat="false" ht="15" hidden="false" customHeight="false" outlineLevel="0" collapsed="false">
      <c r="A160" s="7" t="s">
        <v>456</v>
      </c>
      <c r="B160" s="7" t="s">
        <v>198</v>
      </c>
      <c r="C160" s="7" t="s">
        <v>287</v>
      </c>
      <c r="D160" s="7" t="s">
        <v>273</v>
      </c>
      <c r="E160" s="18" t="n">
        <v>514420.15</v>
      </c>
      <c r="F160" s="24" t="str">
        <f aca="false">IF(E160&gt;=MUS_Parametros!$B$12,"SIM","NÃO")</f>
        <v>NÃO</v>
      </c>
      <c r="G160" s="18" t="n">
        <v>514420.15</v>
      </c>
      <c r="H160" s="21" t="n">
        <f aca="false">E160-G160</f>
        <v>0</v>
      </c>
      <c r="I160" s="25" t="n">
        <f aca="false">IF(F160="SIM","",H160/E160)</f>
        <v>0</v>
      </c>
    </row>
    <row r="161" customFormat="false" ht="15" hidden="false" customHeight="false" outlineLevel="0" collapsed="false">
      <c r="A161" s="7" t="s">
        <v>457</v>
      </c>
      <c r="B161" s="7" t="s">
        <v>198</v>
      </c>
      <c r="C161" s="7" t="s">
        <v>287</v>
      </c>
      <c r="D161" s="7" t="s">
        <v>273</v>
      </c>
      <c r="E161" s="18" t="n">
        <v>1582847.55</v>
      </c>
      <c r="F161" s="24" t="str">
        <f aca="false">IF(E161&gt;=MUS_Parametros!$B$12,"SIM","NÃO")</f>
        <v>NÃO</v>
      </c>
      <c r="G161" s="18" t="n">
        <v>1582847.55</v>
      </c>
      <c r="H161" s="21" t="n">
        <f aca="false">E161-G161</f>
        <v>0</v>
      </c>
      <c r="I161" s="25" t="n">
        <f aca="false">IF(F161="SIM","",H161/E161)</f>
        <v>0</v>
      </c>
    </row>
    <row r="162" customFormat="false" ht="15" hidden="false" customHeight="false" outlineLevel="0" collapsed="false">
      <c r="A162" s="7" t="s">
        <v>458</v>
      </c>
      <c r="B162" s="7" t="s">
        <v>198</v>
      </c>
      <c r="C162" s="7" t="s">
        <v>272</v>
      </c>
      <c r="D162" s="7" t="s">
        <v>273</v>
      </c>
      <c r="E162" s="18" t="n">
        <v>8104608.54</v>
      </c>
      <c r="F162" s="24" t="str">
        <f aca="false">IF(E162&gt;=MUS_Parametros!$B$12,"SIM","NÃO")</f>
        <v>NÃO</v>
      </c>
      <c r="G162" s="18" t="n">
        <v>8104608.54</v>
      </c>
      <c r="H162" s="21" t="n">
        <f aca="false">E162-G162</f>
        <v>0</v>
      </c>
      <c r="I162" s="25" t="n">
        <f aca="false">IF(F162="SIM","",H162/E162)</f>
        <v>0</v>
      </c>
    </row>
    <row r="163" customFormat="false" ht="15" hidden="false" customHeight="false" outlineLevel="0" collapsed="false">
      <c r="A163" s="7" t="s">
        <v>459</v>
      </c>
      <c r="B163" s="7" t="s">
        <v>198</v>
      </c>
      <c r="C163" s="7" t="s">
        <v>287</v>
      </c>
      <c r="D163" s="7" t="s">
        <v>273</v>
      </c>
      <c r="E163" s="18" t="n">
        <v>695849.27</v>
      </c>
      <c r="F163" s="24" t="str">
        <f aca="false">IF(E163&gt;=MUS_Parametros!$B$12,"SIM","NÃO")</f>
        <v>NÃO</v>
      </c>
      <c r="G163" s="18" t="n">
        <v>695849.27</v>
      </c>
      <c r="H163" s="21" t="n">
        <f aca="false">E163-G163</f>
        <v>0</v>
      </c>
      <c r="I163" s="25" t="n">
        <f aca="false">IF(F163="SIM","",H163/E163)</f>
        <v>0</v>
      </c>
    </row>
    <row r="164" customFormat="false" ht="15" hidden="false" customHeight="false" outlineLevel="0" collapsed="false">
      <c r="A164" s="7" t="s">
        <v>460</v>
      </c>
      <c r="B164" s="7" t="s">
        <v>200</v>
      </c>
      <c r="C164" s="7" t="s">
        <v>461</v>
      </c>
      <c r="D164" s="7" t="s">
        <v>273</v>
      </c>
      <c r="E164" s="18" t="n">
        <v>34532790.53</v>
      </c>
      <c r="F164" s="24" t="str">
        <f aca="false">IF(E164&gt;=MUS_Parametros!$B$12,"SIM","NÃO")</f>
        <v>SIM</v>
      </c>
      <c r="G164" s="18" t="n">
        <v>34532790.53</v>
      </c>
      <c r="H164" s="21" t="n">
        <f aca="false">E164-G164</f>
        <v>0</v>
      </c>
      <c r="I164" s="25" t="str">
        <f aca="false">IF(F164="SIM","",H164/E164)</f>
        <v/>
      </c>
    </row>
    <row r="165" customFormat="false" ht="15" hidden="false" customHeight="false" outlineLevel="0" collapsed="false">
      <c r="A165" s="7" t="s">
        <v>462</v>
      </c>
      <c r="B165" s="7" t="s">
        <v>198</v>
      </c>
      <c r="C165" s="7" t="s">
        <v>283</v>
      </c>
      <c r="D165" s="7" t="s">
        <v>273</v>
      </c>
      <c r="E165" s="18" t="n">
        <v>2157345.27</v>
      </c>
      <c r="F165" s="24" t="str">
        <f aca="false">IF(E165&gt;=MUS_Parametros!$B$12,"SIM","NÃO")</f>
        <v>NÃO</v>
      </c>
      <c r="G165" s="18" t="n">
        <v>2157345.27</v>
      </c>
      <c r="H165" s="21" t="n">
        <f aca="false">E165-G165</f>
        <v>0</v>
      </c>
      <c r="I165" s="25" t="n">
        <f aca="false">IF(F165="SIM","",H165/E165)</f>
        <v>0</v>
      </c>
    </row>
    <row r="166" customFormat="false" ht="15" hidden="false" customHeight="false" outlineLevel="0" collapsed="false">
      <c r="A166" s="7" t="s">
        <v>463</v>
      </c>
      <c r="B166" s="7" t="s">
        <v>198</v>
      </c>
      <c r="C166" s="7" t="s">
        <v>287</v>
      </c>
      <c r="D166" s="7" t="s">
        <v>273</v>
      </c>
      <c r="E166" s="18" t="n">
        <v>17657567.67</v>
      </c>
      <c r="F166" s="24" t="str">
        <f aca="false">IF(E166&gt;=MUS_Parametros!$B$12,"SIM","NÃO")</f>
        <v>NÃO</v>
      </c>
      <c r="G166" s="18" t="n">
        <v>17657567.67</v>
      </c>
      <c r="H166" s="21" t="n">
        <f aca="false">E166-G166</f>
        <v>0</v>
      </c>
      <c r="I166" s="25" t="n">
        <f aca="false">IF(F166="SIM","",H166/E166)</f>
        <v>0</v>
      </c>
    </row>
    <row r="167" customFormat="false" ht="15" hidden="false" customHeight="false" outlineLevel="0" collapsed="false">
      <c r="A167" s="7" t="s">
        <v>464</v>
      </c>
      <c r="B167" s="7" t="s">
        <v>198</v>
      </c>
      <c r="C167" s="7" t="s">
        <v>287</v>
      </c>
      <c r="D167" s="7" t="s">
        <v>273</v>
      </c>
      <c r="E167" s="18" t="n">
        <v>1266296.18</v>
      </c>
      <c r="F167" s="24" t="str">
        <f aca="false">IF(E167&gt;=MUS_Parametros!$B$12,"SIM","NÃO")</f>
        <v>NÃO</v>
      </c>
      <c r="G167" s="18" t="n">
        <v>1266296.18</v>
      </c>
      <c r="H167" s="21" t="n">
        <f aca="false">E167-G167</f>
        <v>0</v>
      </c>
      <c r="I167" s="25" t="n">
        <f aca="false">IF(F167="SIM","",H167/E167)</f>
        <v>0</v>
      </c>
    </row>
    <row r="168" customFormat="false" ht="15" hidden="false" customHeight="false" outlineLevel="0" collapsed="false">
      <c r="A168" s="7" t="s">
        <v>465</v>
      </c>
      <c r="B168" s="7" t="s">
        <v>198</v>
      </c>
      <c r="C168" s="7" t="s">
        <v>287</v>
      </c>
      <c r="D168" s="7" t="s">
        <v>273</v>
      </c>
      <c r="E168" s="18" t="n">
        <v>236182.2</v>
      </c>
      <c r="F168" s="24" t="str">
        <f aca="false">IF(E168&gt;=MUS_Parametros!$B$12,"SIM","NÃO")</f>
        <v>NÃO</v>
      </c>
      <c r="G168" s="18" t="n">
        <v>236182.2</v>
      </c>
      <c r="H168" s="21" t="n">
        <f aca="false">E168-G168</f>
        <v>0</v>
      </c>
      <c r="I168" s="25" t="n">
        <f aca="false">IF(F168="SIM","",H168/E168)</f>
        <v>0</v>
      </c>
    </row>
    <row r="169" customFormat="false" ht="15" hidden="false" customHeight="false" outlineLevel="0" collapsed="false">
      <c r="A169" s="7" t="s">
        <v>466</v>
      </c>
      <c r="B169" s="7" t="s">
        <v>198</v>
      </c>
      <c r="C169" s="7" t="s">
        <v>280</v>
      </c>
      <c r="D169" s="7" t="s">
        <v>273</v>
      </c>
      <c r="E169" s="18" t="n">
        <v>92244.57</v>
      </c>
      <c r="F169" s="24" t="str">
        <f aca="false">IF(E169&gt;=MUS_Parametros!$B$12,"SIM","NÃO")</f>
        <v>NÃO</v>
      </c>
      <c r="G169" s="18" t="n">
        <v>92244.57</v>
      </c>
      <c r="H169" s="21" t="n">
        <f aca="false">E169-G169</f>
        <v>0</v>
      </c>
      <c r="I169" s="25" t="n">
        <f aca="false">IF(F169="SIM","",H169/E169)</f>
        <v>0</v>
      </c>
    </row>
    <row r="170" customFormat="false" ht="15" hidden="false" customHeight="false" outlineLevel="0" collapsed="false">
      <c r="A170" s="7" t="s">
        <v>467</v>
      </c>
      <c r="B170" s="7" t="s">
        <v>198</v>
      </c>
      <c r="C170" s="7" t="s">
        <v>287</v>
      </c>
      <c r="D170" s="7" t="s">
        <v>273</v>
      </c>
      <c r="E170" s="18" t="n">
        <v>833410.89</v>
      </c>
      <c r="F170" s="24" t="str">
        <f aca="false">IF(E170&gt;=MUS_Parametros!$B$12,"SIM","NÃO")</f>
        <v>NÃO</v>
      </c>
      <c r="G170" s="18" t="n">
        <v>833410.89</v>
      </c>
      <c r="H170" s="21" t="n">
        <f aca="false">E170-G170</f>
        <v>0</v>
      </c>
      <c r="I170" s="25" t="n">
        <f aca="false">IF(F170="SIM","",H170/E170)</f>
        <v>0</v>
      </c>
    </row>
    <row r="171" customFormat="false" ht="15" hidden="false" customHeight="false" outlineLevel="0" collapsed="false">
      <c r="A171" s="7" t="s">
        <v>468</v>
      </c>
      <c r="B171" s="7" t="s">
        <v>198</v>
      </c>
      <c r="C171" s="7" t="s">
        <v>280</v>
      </c>
      <c r="D171" s="7" t="s">
        <v>273</v>
      </c>
      <c r="E171" s="18" t="n">
        <v>406863.68</v>
      </c>
      <c r="F171" s="24" t="str">
        <f aca="false">IF(E171&gt;=MUS_Parametros!$B$12,"SIM","NÃO")</f>
        <v>NÃO</v>
      </c>
      <c r="G171" s="18" t="n">
        <v>406863.68</v>
      </c>
      <c r="H171" s="21" t="n">
        <f aca="false">E171-G171</f>
        <v>0</v>
      </c>
      <c r="I171" s="25" t="n">
        <f aca="false">IF(F171="SIM","",H171/E171)</f>
        <v>0</v>
      </c>
    </row>
    <row r="172" customFormat="false" ht="15" hidden="false" customHeight="false" outlineLevel="0" collapsed="false">
      <c r="A172" s="7" t="s">
        <v>469</v>
      </c>
      <c r="B172" s="7" t="s">
        <v>198</v>
      </c>
      <c r="C172" s="7" t="s">
        <v>287</v>
      </c>
      <c r="D172" s="7" t="s">
        <v>273</v>
      </c>
      <c r="E172" s="18" t="n">
        <v>863941.87</v>
      </c>
      <c r="F172" s="24" t="str">
        <f aca="false">IF(E172&gt;=MUS_Parametros!$B$12,"SIM","NÃO")</f>
        <v>NÃO</v>
      </c>
      <c r="G172" s="18" t="n">
        <v>863941.87</v>
      </c>
      <c r="H172" s="21" t="n">
        <f aca="false">E172-G172</f>
        <v>0</v>
      </c>
      <c r="I172" s="25" t="n">
        <f aca="false">IF(F172="SIM","",H172/E172)</f>
        <v>0</v>
      </c>
    </row>
    <row r="173" customFormat="false" ht="15" hidden="false" customHeight="false" outlineLevel="0" collapsed="false">
      <c r="A173" s="7" t="s">
        <v>470</v>
      </c>
      <c r="B173" s="7" t="s">
        <v>198</v>
      </c>
      <c r="C173" s="7" t="s">
        <v>287</v>
      </c>
      <c r="D173" s="7" t="s">
        <v>273</v>
      </c>
      <c r="E173" s="18" t="n">
        <v>576171.95</v>
      </c>
      <c r="F173" s="24" t="str">
        <f aca="false">IF(E173&gt;=MUS_Parametros!$B$12,"SIM","NÃO")</f>
        <v>NÃO</v>
      </c>
      <c r="G173" s="18" t="n">
        <v>576171.95</v>
      </c>
      <c r="H173" s="21" t="n">
        <f aca="false">E173-G173</f>
        <v>0</v>
      </c>
      <c r="I173" s="25" t="n">
        <f aca="false">IF(F173="SIM","",H173/E173)</f>
        <v>0</v>
      </c>
    </row>
    <row r="174" customFormat="false" ht="15" hidden="false" customHeight="false" outlineLevel="0" collapsed="false">
      <c r="A174" s="7" t="s">
        <v>471</v>
      </c>
      <c r="B174" s="7" t="s">
        <v>198</v>
      </c>
      <c r="C174" s="7" t="s">
        <v>330</v>
      </c>
      <c r="D174" s="7" t="s">
        <v>273</v>
      </c>
      <c r="E174" s="18" t="n">
        <v>9482.91</v>
      </c>
      <c r="F174" s="24" t="str">
        <f aca="false">IF(E174&gt;=MUS_Parametros!$B$12,"SIM","NÃO")</f>
        <v>NÃO</v>
      </c>
      <c r="G174" s="18" t="n">
        <v>9482.91</v>
      </c>
      <c r="H174" s="21" t="n">
        <f aca="false">E174-G174</f>
        <v>0</v>
      </c>
      <c r="I174" s="25" t="n">
        <f aca="false">IF(F174="SIM","",H174/E174)</f>
        <v>0</v>
      </c>
    </row>
    <row r="175" customFormat="false" ht="15" hidden="false" customHeight="false" outlineLevel="0" collapsed="false">
      <c r="A175" s="7" t="s">
        <v>472</v>
      </c>
      <c r="B175" s="7" t="s">
        <v>198</v>
      </c>
      <c r="C175" s="7" t="s">
        <v>280</v>
      </c>
      <c r="D175" s="7" t="s">
        <v>273</v>
      </c>
      <c r="E175" s="18" t="n">
        <v>128302.19</v>
      </c>
      <c r="F175" s="24" t="str">
        <f aca="false">IF(E175&gt;=MUS_Parametros!$B$12,"SIM","NÃO")</f>
        <v>NÃO</v>
      </c>
      <c r="G175" s="18" t="n">
        <v>128302.19</v>
      </c>
      <c r="H175" s="21" t="n">
        <f aca="false">E175-G175</f>
        <v>0</v>
      </c>
      <c r="I175" s="25" t="n">
        <f aca="false">IF(F175="SIM","",H175/E175)</f>
        <v>0</v>
      </c>
    </row>
    <row r="176" customFormat="false" ht="15" hidden="false" customHeight="false" outlineLevel="0" collapsed="false">
      <c r="A176" s="7" t="s">
        <v>473</v>
      </c>
      <c r="B176" s="7" t="s">
        <v>198</v>
      </c>
      <c r="C176" s="7" t="s">
        <v>272</v>
      </c>
      <c r="D176" s="7" t="s">
        <v>273</v>
      </c>
      <c r="E176" s="18" t="n">
        <v>2933769.5</v>
      </c>
      <c r="F176" s="24" t="str">
        <f aca="false">IF(E176&gt;=MUS_Parametros!$B$12,"SIM","NÃO")</f>
        <v>NÃO</v>
      </c>
      <c r="G176" s="18" t="n">
        <v>2933769.5</v>
      </c>
      <c r="H176" s="21" t="n">
        <f aca="false">E176-G176</f>
        <v>0</v>
      </c>
      <c r="I176" s="25" t="n">
        <f aca="false">IF(F176="SIM","",H176/E176)</f>
        <v>0</v>
      </c>
    </row>
    <row r="177" customFormat="false" ht="15" hidden="false" customHeight="false" outlineLevel="0" collapsed="false">
      <c r="A177" s="7" t="s">
        <v>474</v>
      </c>
      <c r="B177" s="7" t="s">
        <v>198</v>
      </c>
      <c r="C177" s="7" t="s">
        <v>287</v>
      </c>
      <c r="D177" s="7" t="s">
        <v>273</v>
      </c>
      <c r="E177" s="18" t="n">
        <v>3654258.4</v>
      </c>
      <c r="F177" s="24" t="str">
        <f aca="false">IF(E177&gt;=MUS_Parametros!$B$12,"SIM","NÃO")</f>
        <v>NÃO</v>
      </c>
      <c r="G177" s="18" t="n">
        <v>3654258.4</v>
      </c>
      <c r="H177" s="21" t="n">
        <f aca="false">E177-G177</f>
        <v>0</v>
      </c>
      <c r="I177" s="25" t="n">
        <f aca="false">IF(F177="SIM","",H177/E177)</f>
        <v>0</v>
      </c>
    </row>
    <row r="178" customFormat="false" ht="15" hidden="false" customHeight="false" outlineLevel="0" collapsed="false">
      <c r="A178" s="7" t="s">
        <v>475</v>
      </c>
      <c r="B178" s="7" t="s">
        <v>198</v>
      </c>
      <c r="C178" s="7" t="s">
        <v>283</v>
      </c>
      <c r="D178" s="7" t="s">
        <v>273</v>
      </c>
      <c r="E178" s="18" t="n">
        <v>1903945.07</v>
      </c>
      <c r="F178" s="24" t="str">
        <f aca="false">IF(E178&gt;=MUS_Parametros!$B$12,"SIM","NÃO")</f>
        <v>NÃO</v>
      </c>
      <c r="G178" s="18" t="n">
        <v>1903945.07</v>
      </c>
      <c r="H178" s="21" t="n">
        <f aca="false">E178-G178</f>
        <v>0</v>
      </c>
      <c r="I178" s="25" t="n">
        <f aca="false">IF(F178="SIM","",H178/E178)</f>
        <v>0</v>
      </c>
    </row>
    <row r="179" customFormat="false" ht="15" hidden="false" customHeight="false" outlineLevel="0" collapsed="false">
      <c r="A179" s="7" t="s">
        <v>476</v>
      </c>
      <c r="B179" s="7" t="s">
        <v>198</v>
      </c>
      <c r="C179" s="7" t="s">
        <v>287</v>
      </c>
      <c r="D179" s="7" t="s">
        <v>273</v>
      </c>
      <c r="E179" s="18" t="n">
        <v>636708.61</v>
      </c>
      <c r="F179" s="24" t="str">
        <f aca="false">IF(E179&gt;=MUS_Parametros!$B$12,"SIM","NÃO")</f>
        <v>NÃO</v>
      </c>
      <c r="G179" s="18" t="n">
        <v>636708.61</v>
      </c>
      <c r="H179" s="21" t="n">
        <f aca="false">E179-G179</f>
        <v>0</v>
      </c>
      <c r="I179" s="25" t="n">
        <f aca="false">IF(F179="SIM","",H179/E179)</f>
        <v>0</v>
      </c>
    </row>
    <row r="180" customFormat="false" ht="15" hidden="false" customHeight="false" outlineLevel="0" collapsed="false">
      <c r="A180" s="7" t="s">
        <v>477</v>
      </c>
      <c r="B180" s="7" t="s">
        <v>198</v>
      </c>
      <c r="C180" s="7" t="s">
        <v>280</v>
      </c>
      <c r="D180" s="7" t="s">
        <v>273</v>
      </c>
      <c r="E180" s="18" t="n">
        <v>27941.76</v>
      </c>
      <c r="F180" s="24" t="str">
        <f aca="false">IF(E180&gt;=MUS_Parametros!$B$12,"SIM","NÃO")</f>
        <v>NÃO</v>
      </c>
      <c r="G180" s="18" t="n">
        <v>27941.76</v>
      </c>
      <c r="H180" s="21" t="n">
        <f aca="false">E180-G180</f>
        <v>0</v>
      </c>
      <c r="I180" s="25" t="n">
        <f aca="false">IF(F180="SIM","",H180/E180)</f>
        <v>0</v>
      </c>
    </row>
    <row r="181" customFormat="false" ht="15" hidden="false" customHeight="false" outlineLevel="0" collapsed="false">
      <c r="A181" s="7" t="s">
        <v>478</v>
      </c>
      <c r="B181" s="7" t="s">
        <v>198</v>
      </c>
      <c r="C181" s="7" t="s">
        <v>287</v>
      </c>
      <c r="D181" s="7" t="s">
        <v>273</v>
      </c>
      <c r="E181" s="18" t="n">
        <v>1497685.92</v>
      </c>
      <c r="F181" s="24" t="str">
        <f aca="false">IF(E181&gt;=MUS_Parametros!$B$12,"SIM","NÃO")</f>
        <v>NÃO</v>
      </c>
      <c r="G181" s="18" t="n">
        <v>1497685.92</v>
      </c>
      <c r="H181" s="21" t="n">
        <f aca="false">E181-G181</f>
        <v>0</v>
      </c>
      <c r="I181" s="25" t="n">
        <f aca="false">IF(F181="SIM","",H181/E181)</f>
        <v>0</v>
      </c>
    </row>
    <row r="182" customFormat="false" ht="15" hidden="false" customHeight="false" outlineLevel="0" collapsed="false">
      <c r="A182" s="7" t="s">
        <v>479</v>
      </c>
      <c r="B182" s="7" t="s">
        <v>198</v>
      </c>
      <c r="C182" s="7" t="s">
        <v>280</v>
      </c>
      <c r="D182" s="7" t="s">
        <v>273</v>
      </c>
      <c r="E182" s="18" t="n">
        <v>130981.9</v>
      </c>
      <c r="F182" s="24" t="str">
        <f aca="false">IF(E182&gt;=MUS_Parametros!$B$12,"SIM","NÃO")</f>
        <v>NÃO</v>
      </c>
      <c r="G182" s="18" t="n">
        <v>130981.9</v>
      </c>
      <c r="H182" s="21" t="n">
        <f aca="false">E182-G182</f>
        <v>0</v>
      </c>
      <c r="I182" s="25" t="n">
        <f aca="false">IF(F182="SIM","",H182/E182)</f>
        <v>0</v>
      </c>
    </row>
    <row r="183" customFormat="false" ht="15" hidden="false" customHeight="false" outlineLevel="0" collapsed="false">
      <c r="A183" s="7" t="s">
        <v>480</v>
      </c>
      <c r="B183" s="7" t="s">
        <v>200</v>
      </c>
      <c r="C183" s="7" t="s">
        <v>481</v>
      </c>
      <c r="D183" s="7" t="s">
        <v>273</v>
      </c>
      <c r="E183" s="18" t="n">
        <v>30359685.01</v>
      </c>
      <c r="F183" s="24" t="str">
        <f aca="false">IF(E183&gt;=MUS_Parametros!$B$12,"SIM","NÃO")</f>
        <v>NÃO</v>
      </c>
      <c r="G183" s="18" t="n">
        <v>30359685.01</v>
      </c>
      <c r="H183" s="21" t="n">
        <f aca="false">E183-G183</f>
        <v>0</v>
      </c>
      <c r="I183" s="25" t="n">
        <f aca="false">IF(F183="SIM","",H183/E183)</f>
        <v>0</v>
      </c>
    </row>
    <row r="184" customFormat="false" ht="15" hidden="false" customHeight="false" outlineLevel="0" collapsed="false">
      <c r="A184" s="7" t="s">
        <v>482</v>
      </c>
      <c r="B184" s="7" t="s">
        <v>198</v>
      </c>
      <c r="C184" s="7" t="s">
        <v>287</v>
      </c>
      <c r="D184" s="7" t="s">
        <v>273</v>
      </c>
      <c r="E184" s="18" t="n">
        <v>613456.85</v>
      </c>
      <c r="F184" s="24" t="str">
        <f aca="false">IF(E184&gt;=MUS_Parametros!$B$12,"SIM","NÃO")</f>
        <v>NÃO</v>
      </c>
      <c r="G184" s="18" t="n">
        <v>613456.85</v>
      </c>
      <c r="H184" s="21" t="n">
        <f aca="false">E184-G184</f>
        <v>0</v>
      </c>
      <c r="I184" s="25" t="n">
        <f aca="false">IF(F184="SIM","",H184/E184)</f>
        <v>0</v>
      </c>
    </row>
    <row r="185" customFormat="false" ht="15" hidden="false" customHeight="false" outlineLevel="0" collapsed="false">
      <c r="A185" s="7" t="s">
        <v>483</v>
      </c>
      <c r="B185" s="7" t="s">
        <v>198</v>
      </c>
      <c r="C185" s="7" t="s">
        <v>287</v>
      </c>
      <c r="D185" s="7" t="s">
        <v>273</v>
      </c>
      <c r="E185" s="18" t="n">
        <v>1759222.21</v>
      </c>
      <c r="F185" s="24" t="str">
        <f aca="false">IF(E185&gt;=MUS_Parametros!$B$12,"SIM","NÃO")</f>
        <v>NÃO</v>
      </c>
      <c r="G185" s="18" t="n">
        <v>1759222.21</v>
      </c>
      <c r="H185" s="21" t="n">
        <f aca="false">E185-G185</f>
        <v>0</v>
      </c>
      <c r="I185" s="25" t="n">
        <f aca="false">IF(F185="SIM","",H185/E185)</f>
        <v>0</v>
      </c>
    </row>
    <row r="186" customFormat="false" ht="15" hidden="false" customHeight="false" outlineLevel="0" collapsed="false">
      <c r="A186" s="7" t="s">
        <v>484</v>
      </c>
      <c r="B186" s="7" t="s">
        <v>198</v>
      </c>
      <c r="C186" s="7" t="s">
        <v>272</v>
      </c>
      <c r="D186" s="7" t="s">
        <v>273</v>
      </c>
      <c r="E186" s="18" t="n">
        <v>1362440.96</v>
      </c>
      <c r="F186" s="24" t="str">
        <f aca="false">IF(E186&gt;=MUS_Parametros!$B$12,"SIM","NÃO")</f>
        <v>NÃO</v>
      </c>
      <c r="G186" s="18" t="n">
        <v>1362440.96</v>
      </c>
      <c r="H186" s="21" t="n">
        <f aca="false">E186-G186</f>
        <v>0</v>
      </c>
      <c r="I186" s="25" t="n">
        <f aca="false">IF(F186="SIM","",H186/E186)</f>
        <v>0</v>
      </c>
    </row>
    <row r="187" customFormat="false" ht="15" hidden="false" customHeight="false" outlineLevel="0" collapsed="false">
      <c r="A187" s="7" t="s">
        <v>485</v>
      </c>
      <c r="B187" s="7" t="s">
        <v>198</v>
      </c>
      <c r="C187" s="7" t="s">
        <v>287</v>
      </c>
      <c r="D187" s="7" t="s">
        <v>273</v>
      </c>
      <c r="E187" s="18" t="n">
        <v>1131286.72</v>
      </c>
      <c r="F187" s="24" t="str">
        <f aca="false">IF(E187&gt;=MUS_Parametros!$B$12,"SIM","NÃO")</f>
        <v>NÃO</v>
      </c>
      <c r="G187" s="18" t="n">
        <v>1131286.72</v>
      </c>
      <c r="H187" s="21" t="n">
        <f aca="false">E187-G187</f>
        <v>0</v>
      </c>
      <c r="I187" s="25" t="n">
        <f aca="false">IF(F187="SIM","",H187/E187)</f>
        <v>0</v>
      </c>
    </row>
    <row r="188" customFormat="false" ht="15" hidden="false" customHeight="false" outlineLevel="0" collapsed="false">
      <c r="A188" s="7" t="s">
        <v>486</v>
      </c>
      <c r="B188" s="7" t="s">
        <v>198</v>
      </c>
      <c r="C188" s="7" t="s">
        <v>287</v>
      </c>
      <c r="D188" s="7" t="s">
        <v>273</v>
      </c>
      <c r="E188" s="18" t="n">
        <v>401182.76</v>
      </c>
      <c r="F188" s="24" t="str">
        <f aca="false">IF(E188&gt;=MUS_Parametros!$B$12,"SIM","NÃO")</f>
        <v>NÃO</v>
      </c>
      <c r="G188" s="18" t="n">
        <v>401182.76</v>
      </c>
      <c r="H188" s="21" t="n">
        <f aca="false">E188-G188</f>
        <v>0</v>
      </c>
      <c r="I188" s="25" t="n">
        <f aca="false">IF(F188="SIM","",H188/E188)</f>
        <v>0</v>
      </c>
    </row>
    <row r="189" customFormat="false" ht="15" hidden="false" customHeight="false" outlineLevel="0" collapsed="false">
      <c r="A189" s="7" t="s">
        <v>487</v>
      </c>
      <c r="B189" s="7" t="s">
        <v>198</v>
      </c>
      <c r="C189" s="7" t="s">
        <v>287</v>
      </c>
      <c r="D189" s="7" t="s">
        <v>273</v>
      </c>
      <c r="E189" s="18" t="n">
        <v>4373403.11</v>
      </c>
      <c r="F189" s="24" t="str">
        <f aca="false">IF(E189&gt;=MUS_Parametros!$B$12,"SIM","NÃO")</f>
        <v>NÃO</v>
      </c>
      <c r="G189" s="18" t="n">
        <v>4373403.11</v>
      </c>
      <c r="H189" s="21" t="n">
        <f aca="false">E189-G189</f>
        <v>0</v>
      </c>
      <c r="I189" s="25" t="n">
        <f aca="false">IF(F189="SIM","",H189/E189)</f>
        <v>0</v>
      </c>
    </row>
    <row r="190" customFormat="false" ht="15" hidden="false" customHeight="false" outlineLevel="0" collapsed="false">
      <c r="A190" s="7" t="s">
        <v>488</v>
      </c>
      <c r="B190" s="7" t="s">
        <v>198</v>
      </c>
      <c r="C190" s="7" t="s">
        <v>280</v>
      </c>
      <c r="D190" s="7" t="s">
        <v>273</v>
      </c>
      <c r="E190" s="18" t="n">
        <v>22548.39</v>
      </c>
      <c r="F190" s="24" t="str">
        <f aca="false">IF(E190&gt;=MUS_Parametros!$B$12,"SIM","NÃO")</f>
        <v>NÃO</v>
      </c>
      <c r="G190" s="18" t="n">
        <v>22548.39</v>
      </c>
      <c r="H190" s="21" t="n">
        <f aca="false">E190-G190</f>
        <v>0</v>
      </c>
      <c r="I190" s="25" t="n">
        <f aca="false">IF(F190="SIM","",H190/E190)</f>
        <v>0</v>
      </c>
    </row>
    <row r="191" customFormat="false" ht="15" hidden="false" customHeight="false" outlineLevel="0" collapsed="false">
      <c r="A191" s="7" t="s">
        <v>489</v>
      </c>
      <c r="B191" s="7" t="s">
        <v>198</v>
      </c>
      <c r="C191" s="7" t="s">
        <v>272</v>
      </c>
      <c r="D191" s="7" t="s">
        <v>273</v>
      </c>
      <c r="E191" s="18" t="n">
        <v>4502702.75</v>
      </c>
      <c r="F191" s="24" t="str">
        <f aca="false">IF(E191&gt;=MUS_Parametros!$B$12,"SIM","NÃO")</f>
        <v>NÃO</v>
      </c>
      <c r="G191" s="18" t="n">
        <v>4502702.75</v>
      </c>
      <c r="H191" s="21" t="n">
        <f aca="false">E191-G191</f>
        <v>0</v>
      </c>
      <c r="I191" s="25" t="n">
        <f aca="false">IF(F191="SIM","",H191/E191)</f>
        <v>0</v>
      </c>
    </row>
    <row r="192" customFormat="false" ht="15" hidden="false" customHeight="false" outlineLevel="0" collapsed="false">
      <c r="A192" s="7" t="s">
        <v>490</v>
      </c>
      <c r="B192" s="7" t="s">
        <v>198</v>
      </c>
      <c r="C192" s="7" t="s">
        <v>287</v>
      </c>
      <c r="D192" s="7" t="s">
        <v>273</v>
      </c>
      <c r="E192" s="18" t="n">
        <v>632028.16</v>
      </c>
      <c r="F192" s="24" t="str">
        <f aca="false">IF(E192&gt;=MUS_Parametros!$B$12,"SIM","NÃO")</f>
        <v>NÃO</v>
      </c>
      <c r="G192" s="18" t="n">
        <v>632028.16</v>
      </c>
      <c r="H192" s="21" t="n">
        <f aca="false">E192-G192</f>
        <v>0</v>
      </c>
      <c r="I192" s="25" t="n">
        <f aca="false">IF(F192="SIM","",H192/E192)</f>
        <v>0</v>
      </c>
    </row>
    <row r="193" customFormat="false" ht="15" hidden="false" customHeight="false" outlineLevel="0" collapsed="false">
      <c r="A193" s="7" t="s">
        <v>491</v>
      </c>
      <c r="B193" s="7" t="s">
        <v>198</v>
      </c>
      <c r="C193" s="7" t="s">
        <v>287</v>
      </c>
      <c r="D193" s="7" t="s">
        <v>273</v>
      </c>
      <c r="E193" s="18" t="n">
        <v>1241848.62</v>
      </c>
      <c r="F193" s="24" t="str">
        <f aca="false">IF(E193&gt;=MUS_Parametros!$B$12,"SIM","NÃO")</f>
        <v>NÃO</v>
      </c>
      <c r="G193" s="18" t="n">
        <v>1241848.62</v>
      </c>
      <c r="H193" s="21" t="n">
        <f aca="false">E193-G193</f>
        <v>0</v>
      </c>
      <c r="I193" s="25" t="n">
        <f aca="false">IF(F193="SIM","",H193/E193)</f>
        <v>0</v>
      </c>
    </row>
    <row r="194" customFormat="false" ht="15" hidden="false" customHeight="false" outlineLevel="0" collapsed="false">
      <c r="A194" s="7" t="s">
        <v>492</v>
      </c>
      <c r="B194" s="7" t="s">
        <v>198</v>
      </c>
      <c r="C194" s="7" t="s">
        <v>493</v>
      </c>
      <c r="D194" s="7" t="s">
        <v>273</v>
      </c>
      <c r="E194" s="18" t="n">
        <v>95099.1</v>
      </c>
      <c r="F194" s="24" t="str">
        <f aca="false">IF(E194&gt;=MUS_Parametros!$B$12,"SIM","NÃO")</f>
        <v>NÃO</v>
      </c>
      <c r="G194" s="18" t="n">
        <v>95099.1</v>
      </c>
      <c r="H194" s="21" t="n">
        <f aca="false">E194-G194</f>
        <v>0</v>
      </c>
      <c r="I194" s="25" t="n">
        <f aca="false">IF(F194="SIM","",H194/E194)</f>
        <v>0</v>
      </c>
    </row>
    <row r="195" customFormat="false" ht="15" hidden="false" customHeight="false" outlineLevel="0" collapsed="false">
      <c r="A195" s="7" t="s">
        <v>494</v>
      </c>
      <c r="B195" s="7" t="s">
        <v>198</v>
      </c>
      <c r="C195" s="7" t="s">
        <v>287</v>
      </c>
      <c r="D195" s="7" t="s">
        <v>273</v>
      </c>
      <c r="E195" s="18" t="n">
        <v>653018.9</v>
      </c>
      <c r="F195" s="24" t="str">
        <f aca="false">IF(E195&gt;=MUS_Parametros!$B$12,"SIM","NÃO")</f>
        <v>NÃO</v>
      </c>
      <c r="G195" s="18" t="n">
        <v>653018.9</v>
      </c>
      <c r="H195" s="21" t="n">
        <f aca="false">E195-G195</f>
        <v>0</v>
      </c>
      <c r="I195" s="25" t="n">
        <f aca="false">IF(F195="SIM","",H195/E195)</f>
        <v>0</v>
      </c>
    </row>
    <row r="196" customFormat="false" ht="15" hidden="false" customHeight="false" outlineLevel="0" collapsed="false">
      <c r="A196" s="7" t="s">
        <v>495</v>
      </c>
      <c r="B196" s="7" t="s">
        <v>198</v>
      </c>
      <c r="C196" s="7" t="s">
        <v>272</v>
      </c>
      <c r="D196" s="7" t="s">
        <v>273</v>
      </c>
      <c r="E196" s="18" t="n">
        <v>1597999.78</v>
      </c>
      <c r="F196" s="24" t="str">
        <f aca="false">IF(E196&gt;=MUS_Parametros!$B$12,"SIM","NÃO")</f>
        <v>NÃO</v>
      </c>
      <c r="G196" s="18" t="n">
        <v>1597999.78</v>
      </c>
      <c r="H196" s="21" t="n">
        <f aca="false">E196-G196</f>
        <v>0</v>
      </c>
      <c r="I196" s="25" t="n">
        <f aca="false">IF(F196="SIM","",H196/E196)</f>
        <v>0</v>
      </c>
    </row>
    <row r="197" customFormat="false" ht="15" hidden="false" customHeight="false" outlineLevel="0" collapsed="false">
      <c r="A197" s="7" t="s">
        <v>496</v>
      </c>
      <c r="B197" s="7" t="s">
        <v>200</v>
      </c>
      <c r="C197" s="7" t="s">
        <v>497</v>
      </c>
      <c r="D197" s="7" t="s">
        <v>273</v>
      </c>
      <c r="E197" s="18" t="n">
        <v>27365352.56</v>
      </c>
      <c r="F197" s="24" t="str">
        <f aca="false">IF(E197&gt;=MUS_Parametros!$B$12,"SIM","NÃO")</f>
        <v>NÃO</v>
      </c>
      <c r="G197" s="18" t="n">
        <v>27365352.56</v>
      </c>
      <c r="H197" s="21" t="n">
        <f aca="false">E197-G197</f>
        <v>0</v>
      </c>
      <c r="I197" s="25" t="n">
        <f aca="false">IF(F197="SIM","",H197/E197)</f>
        <v>0</v>
      </c>
    </row>
    <row r="198" customFormat="false" ht="15" hidden="false" customHeight="false" outlineLevel="0" collapsed="false">
      <c r="A198" s="7" t="s">
        <v>498</v>
      </c>
      <c r="B198" s="7" t="s">
        <v>210</v>
      </c>
      <c r="C198" s="7" t="s">
        <v>499</v>
      </c>
      <c r="D198" s="7" t="s">
        <v>273</v>
      </c>
      <c r="E198" s="18" t="n">
        <v>142917557.84</v>
      </c>
      <c r="F198" s="24" t="str">
        <f aca="false">IF(E198&gt;=MUS_Parametros!$B$12,"SIM","NÃO")</f>
        <v>SIM</v>
      </c>
      <c r="G198" s="18" t="n">
        <v>142917557.84</v>
      </c>
      <c r="H198" s="21" t="n">
        <f aca="false">E198-G198</f>
        <v>0</v>
      </c>
      <c r="I198" s="25" t="str">
        <f aca="false">IF(F198="SIM","",H198/E198)</f>
        <v/>
      </c>
    </row>
    <row r="199" customFormat="false" ht="15" hidden="false" customHeight="false" outlineLevel="0" collapsed="false">
      <c r="A199" s="7" t="s">
        <v>500</v>
      </c>
      <c r="B199" s="7" t="s">
        <v>200</v>
      </c>
      <c r="C199" s="7" t="s">
        <v>501</v>
      </c>
      <c r="D199" s="7" t="s">
        <v>273</v>
      </c>
      <c r="E199" s="18" t="n">
        <v>39872675.48</v>
      </c>
      <c r="F199" s="24" t="str">
        <f aca="false">IF(E199&gt;=MUS_Parametros!$B$12,"SIM","NÃO")</f>
        <v>SIM</v>
      </c>
      <c r="G199" s="18" t="n">
        <v>39872675.48</v>
      </c>
      <c r="H199" s="21" t="n">
        <f aca="false">E199-G199</f>
        <v>0</v>
      </c>
      <c r="I199" s="25" t="str">
        <f aca="false">IF(F199="SIM","",H199/E199)</f>
        <v/>
      </c>
    </row>
    <row r="200" customFormat="false" ht="15" hidden="false" customHeight="false" outlineLevel="0" collapsed="false">
      <c r="A200" s="7" t="s">
        <v>502</v>
      </c>
      <c r="B200" s="7" t="s">
        <v>198</v>
      </c>
      <c r="C200" s="7" t="s">
        <v>272</v>
      </c>
      <c r="D200" s="7" t="s">
        <v>273</v>
      </c>
      <c r="E200" s="18" t="n">
        <v>2799199.09</v>
      </c>
      <c r="F200" s="24" t="str">
        <f aca="false">IF(E200&gt;=MUS_Parametros!$B$12,"SIM","NÃO")</f>
        <v>NÃO</v>
      </c>
      <c r="G200" s="18" t="n">
        <v>2799199.09</v>
      </c>
      <c r="H200" s="21" t="n">
        <f aca="false">E200-G200</f>
        <v>0</v>
      </c>
      <c r="I200" s="25" t="n">
        <f aca="false">IF(F200="SIM","",H200/E200)</f>
        <v>0</v>
      </c>
    </row>
    <row r="201" customFormat="false" ht="15" hidden="false" customHeight="false" outlineLevel="0" collapsed="false">
      <c r="A201" s="7" t="s">
        <v>503</v>
      </c>
      <c r="B201" s="7" t="s">
        <v>202</v>
      </c>
      <c r="C201" s="7" t="s">
        <v>504</v>
      </c>
      <c r="D201" s="7" t="s">
        <v>273</v>
      </c>
      <c r="E201" s="18" t="n">
        <v>34759104.97</v>
      </c>
      <c r="F201" s="24" t="str">
        <f aca="false">IF(E201&gt;=MUS_Parametros!$B$12,"SIM","NÃO")</f>
        <v>SIM</v>
      </c>
      <c r="G201" s="18" t="n">
        <v>34759104.97</v>
      </c>
      <c r="H201" s="21" t="n">
        <f aca="false">E201-G201</f>
        <v>0</v>
      </c>
      <c r="I201" s="25" t="str">
        <f aca="false">IF(F201="SIM","",H201/E201)</f>
        <v/>
      </c>
    </row>
    <row r="202" customFormat="false" ht="15" hidden="false" customHeight="false" outlineLevel="0" collapsed="false">
      <c r="A202" s="7" t="s">
        <v>505</v>
      </c>
      <c r="B202" s="7" t="s">
        <v>198</v>
      </c>
      <c r="C202" s="7" t="s">
        <v>287</v>
      </c>
      <c r="D202" s="7" t="s">
        <v>273</v>
      </c>
      <c r="E202" s="18" t="n">
        <v>990654.48</v>
      </c>
      <c r="F202" s="24" t="str">
        <f aca="false">IF(E202&gt;=MUS_Parametros!$B$12,"SIM","NÃO")</f>
        <v>NÃO</v>
      </c>
      <c r="G202" s="18" t="n">
        <v>0</v>
      </c>
      <c r="H202" s="21" t="n">
        <f aca="false">E202-G202</f>
        <v>990654.48</v>
      </c>
      <c r="I202" s="25" t="n">
        <f aca="false">IF(F202="SIM","",H202/E202)</f>
        <v>1</v>
      </c>
    </row>
    <row r="203" customFormat="false" ht="15" hidden="false" customHeight="false" outlineLevel="0" collapsed="false">
      <c r="A203" s="7" t="s">
        <v>506</v>
      </c>
      <c r="B203" s="7" t="s">
        <v>198</v>
      </c>
      <c r="C203" s="7" t="s">
        <v>287</v>
      </c>
      <c r="D203" s="7" t="s">
        <v>273</v>
      </c>
      <c r="E203" s="18" t="n">
        <v>3364200.06</v>
      </c>
      <c r="F203" s="24" t="str">
        <f aca="false">IF(E203&gt;=MUS_Parametros!$B$12,"SIM","NÃO")</f>
        <v>NÃO</v>
      </c>
      <c r="G203" s="18" t="n">
        <v>3364200.06</v>
      </c>
      <c r="H203" s="21" t="n">
        <f aca="false">E203-G203</f>
        <v>0</v>
      </c>
      <c r="I203" s="25" t="n">
        <f aca="false">IF(F203="SIM","",H203/E203)</f>
        <v>0</v>
      </c>
    </row>
    <row r="204" customFormat="false" ht="15" hidden="false" customHeight="false" outlineLevel="0" collapsed="false">
      <c r="A204" s="7" t="s">
        <v>507</v>
      </c>
      <c r="B204" s="7" t="s">
        <v>198</v>
      </c>
      <c r="C204" s="7" t="s">
        <v>272</v>
      </c>
      <c r="D204" s="7" t="s">
        <v>273</v>
      </c>
      <c r="E204" s="18" t="n">
        <v>820883.6</v>
      </c>
      <c r="F204" s="24" t="str">
        <f aca="false">IF(E204&gt;=MUS_Parametros!$B$12,"SIM","NÃO")</f>
        <v>NÃO</v>
      </c>
      <c r="G204" s="18" t="n">
        <v>820883.6</v>
      </c>
      <c r="H204" s="21" t="n">
        <f aca="false">E204-G204</f>
        <v>0</v>
      </c>
      <c r="I204" s="25" t="n">
        <f aca="false">IF(F204="SIM","",H204/E204)</f>
        <v>0</v>
      </c>
    </row>
    <row r="205" customFormat="false" ht="15" hidden="false" customHeight="false" outlineLevel="0" collapsed="false">
      <c r="A205" s="7" t="s">
        <v>508</v>
      </c>
      <c r="B205" s="7" t="s">
        <v>198</v>
      </c>
      <c r="C205" s="7" t="s">
        <v>280</v>
      </c>
      <c r="D205" s="7" t="s">
        <v>273</v>
      </c>
      <c r="E205" s="18" t="n">
        <v>80778.34</v>
      </c>
      <c r="F205" s="24" t="str">
        <f aca="false">IF(E205&gt;=MUS_Parametros!$B$12,"SIM","NÃO")</f>
        <v>NÃO</v>
      </c>
      <c r="G205" s="18" t="n">
        <v>80778.34</v>
      </c>
      <c r="H205" s="21" t="n">
        <f aca="false">E205-G205</f>
        <v>0</v>
      </c>
      <c r="I205" s="25" t="n">
        <f aca="false">IF(F205="SIM","",H205/E205)</f>
        <v>0</v>
      </c>
    </row>
    <row r="206" customFormat="false" ht="15" hidden="false" customHeight="false" outlineLevel="0" collapsed="false">
      <c r="A206" s="7" t="s">
        <v>509</v>
      </c>
      <c r="B206" s="7" t="s">
        <v>198</v>
      </c>
      <c r="C206" s="7" t="s">
        <v>272</v>
      </c>
      <c r="D206" s="7" t="s">
        <v>273</v>
      </c>
      <c r="E206" s="18" t="n">
        <v>449056.06</v>
      </c>
      <c r="F206" s="24" t="str">
        <f aca="false">IF(E206&gt;=MUS_Parametros!$B$12,"SIM","NÃO")</f>
        <v>NÃO</v>
      </c>
      <c r="G206" s="18" t="n">
        <v>449056.06</v>
      </c>
      <c r="H206" s="21" t="n">
        <f aca="false">E206-G206</f>
        <v>0</v>
      </c>
      <c r="I206" s="25" t="n">
        <f aca="false">IF(F206="SIM","",H206/E206)</f>
        <v>0</v>
      </c>
    </row>
    <row r="207" customFormat="false" ht="15" hidden="false" customHeight="false" outlineLevel="0" collapsed="false">
      <c r="A207" s="7" t="s">
        <v>510</v>
      </c>
      <c r="B207" s="7" t="s">
        <v>198</v>
      </c>
      <c r="C207" s="7" t="s">
        <v>330</v>
      </c>
      <c r="D207" s="7" t="s">
        <v>273</v>
      </c>
      <c r="E207" s="18" t="n">
        <v>11670.45</v>
      </c>
      <c r="F207" s="24" t="str">
        <f aca="false">IF(E207&gt;=MUS_Parametros!$B$12,"SIM","NÃO")</f>
        <v>NÃO</v>
      </c>
      <c r="G207" s="18" t="n">
        <v>11670.45</v>
      </c>
      <c r="H207" s="21" t="n">
        <f aca="false">E207-G207</f>
        <v>0</v>
      </c>
      <c r="I207" s="25" t="n">
        <f aca="false">IF(F207="SIM","",H207/E207)</f>
        <v>0</v>
      </c>
    </row>
    <row r="208" customFormat="false" ht="15" hidden="false" customHeight="false" outlineLevel="0" collapsed="false">
      <c r="A208" s="7" t="s">
        <v>511</v>
      </c>
      <c r="B208" s="7" t="s">
        <v>198</v>
      </c>
      <c r="C208" s="7" t="s">
        <v>287</v>
      </c>
      <c r="D208" s="7" t="s">
        <v>273</v>
      </c>
      <c r="E208" s="18" t="n">
        <v>832830.72</v>
      </c>
      <c r="F208" s="24" t="str">
        <f aca="false">IF(E208&gt;=MUS_Parametros!$B$12,"SIM","NÃO")</f>
        <v>NÃO</v>
      </c>
      <c r="G208" s="18" t="n">
        <v>832830.72</v>
      </c>
      <c r="H208" s="21" t="n">
        <f aca="false">E208-G208</f>
        <v>0</v>
      </c>
      <c r="I208" s="25" t="n">
        <f aca="false">IF(F208="SIM","",H208/E208)</f>
        <v>0</v>
      </c>
    </row>
    <row r="209" customFormat="false" ht="15" hidden="false" customHeight="false" outlineLevel="0" collapsed="false">
      <c r="A209" s="7" t="s">
        <v>512</v>
      </c>
      <c r="B209" s="7" t="s">
        <v>198</v>
      </c>
      <c r="C209" s="7" t="s">
        <v>287</v>
      </c>
      <c r="D209" s="7" t="s">
        <v>273</v>
      </c>
      <c r="E209" s="18" t="n">
        <v>519549.67</v>
      </c>
      <c r="F209" s="24" t="str">
        <f aca="false">IF(E209&gt;=MUS_Parametros!$B$12,"SIM","NÃO")</f>
        <v>NÃO</v>
      </c>
      <c r="G209" s="18" t="n">
        <v>519549.67</v>
      </c>
      <c r="H209" s="21" t="n">
        <f aca="false">E209-G209</f>
        <v>0</v>
      </c>
      <c r="I209" s="25" t="n">
        <f aca="false">IF(F209="SIM","",H209/E209)</f>
        <v>0</v>
      </c>
    </row>
    <row r="210" customFormat="false" ht="15" hidden="false" customHeight="false" outlineLevel="0" collapsed="false">
      <c r="A210" s="7" t="s">
        <v>513</v>
      </c>
      <c r="B210" s="7" t="s">
        <v>198</v>
      </c>
      <c r="C210" s="7" t="s">
        <v>280</v>
      </c>
      <c r="D210" s="7" t="s">
        <v>273</v>
      </c>
      <c r="E210" s="18" t="n">
        <v>121042.3</v>
      </c>
      <c r="F210" s="24" t="str">
        <f aca="false">IF(E210&gt;=MUS_Parametros!$B$12,"SIM","NÃO")</f>
        <v>NÃO</v>
      </c>
      <c r="G210" s="18" t="n">
        <v>121042.3</v>
      </c>
      <c r="H210" s="21" t="n">
        <f aca="false">E210-G210</f>
        <v>0</v>
      </c>
      <c r="I210" s="25" t="n">
        <f aca="false">IF(F210="SIM","",H210/E210)</f>
        <v>0</v>
      </c>
    </row>
    <row r="211" customFormat="false" ht="15" hidden="false" customHeight="false" outlineLevel="0" collapsed="false">
      <c r="A211" s="7" t="s">
        <v>514</v>
      </c>
      <c r="B211" s="7" t="s">
        <v>200</v>
      </c>
      <c r="C211" s="7" t="s">
        <v>515</v>
      </c>
      <c r="D211" s="7" t="s">
        <v>273</v>
      </c>
      <c r="E211" s="18" t="n">
        <v>35619657.57</v>
      </c>
      <c r="F211" s="24" t="str">
        <f aca="false">IF(E211&gt;=MUS_Parametros!$B$12,"SIM","NÃO")</f>
        <v>SIM</v>
      </c>
      <c r="G211" s="18" t="n">
        <v>35619657.57</v>
      </c>
      <c r="H211" s="21" t="n">
        <f aca="false">E211-G211</f>
        <v>0</v>
      </c>
      <c r="I211" s="25" t="str">
        <f aca="false">IF(F211="SIM","",H211/E211)</f>
        <v/>
      </c>
    </row>
    <row r="212" customFormat="false" ht="15" hidden="false" customHeight="false" outlineLevel="0" collapsed="false">
      <c r="A212" s="7" t="s">
        <v>516</v>
      </c>
      <c r="B212" s="7" t="s">
        <v>198</v>
      </c>
      <c r="C212" s="7" t="s">
        <v>272</v>
      </c>
      <c r="D212" s="7" t="s">
        <v>273</v>
      </c>
      <c r="E212" s="18" t="n">
        <v>2684446.13</v>
      </c>
      <c r="F212" s="24" t="str">
        <f aca="false">IF(E212&gt;=MUS_Parametros!$B$12,"SIM","NÃO")</f>
        <v>NÃO</v>
      </c>
      <c r="G212" s="18" t="n">
        <v>2684446.13</v>
      </c>
      <c r="H212" s="21" t="n">
        <f aca="false">E212-G212</f>
        <v>0</v>
      </c>
      <c r="I212" s="25" t="n">
        <f aca="false">IF(F212="SIM","",H212/E212)</f>
        <v>0</v>
      </c>
    </row>
    <row r="213" customFormat="false" ht="15" hidden="false" customHeight="false" outlineLevel="0" collapsed="false">
      <c r="A213" s="7" t="s">
        <v>517</v>
      </c>
      <c r="B213" s="7" t="s">
        <v>198</v>
      </c>
      <c r="C213" s="7" t="s">
        <v>330</v>
      </c>
      <c r="D213" s="7" t="s">
        <v>273</v>
      </c>
      <c r="E213" s="18" t="n">
        <v>7404.49</v>
      </c>
      <c r="F213" s="24" t="str">
        <f aca="false">IF(E213&gt;=MUS_Parametros!$B$12,"SIM","NÃO")</f>
        <v>NÃO</v>
      </c>
      <c r="G213" s="18" t="n">
        <v>7404.49</v>
      </c>
      <c r="H213" s="21" t="n">
        <f aca="false">E213-G213</f>
        <v>0</v>
      </c>
      <c r="I213" s="25" t="n">
        <f aca="false">IF(F213="SIM","",H213/E213)</f>
        <v>0</v>
      </c>
    </row>
    <row r="214" customFormat="false" ht="15" hidden="false" customHeight="false" outlineLevel="0" collapsed="false">
      <c r="A214" s="7" t="s">
        <v>518</v>
      </c>
      <c r="B214" s="7" t="s">
        <v>198</v>
      </c>
      <c r="C214" s="7" t="s">
        <v>280</v>
      </c>
      <c r="D214" s="7" t="s">
        <v>273</v>
      </c>
      <c r="E214" s="18" t="n">
        <v>49859.09</v>
      </c>
      <c r="F214" s="24" t="str">
        <f aca="false">IF(E214&gt;=MUS_Parametros!$B$12,"SIM","NÃO")</f>
        <v>NÃO</v>
      </c>
      <c r="G214" s="18" t="n">
        <v>49859.09</v>
      </c>
      <c r="H214" s="21" t="n">
        <f aca="false">E214-G214</f>
        <v>0</v>
      </c>
      <c r="I214" s="25" t="n">
        <f aca="false">IF(F214="SIM","",H214/E214)</f>
        <v>0</v>
      </c>
    </row>
    <row r="215" customFormat="false" ht="15" hidden="false" customHeight="false" outlineLevel="0" collapsed="false">
      <c r="A215" s="7" t="s">
        <v>519</v>
      </c>
      <c r="B215" s="7" t="s">
        <v>198</v>
      </c>
      <c r="C215" s="7" t="s">
        <v>287</v>
      </c>
      <c r="D215" s="7" t="s">
        <v>273</v>
      </c>
      <c r="E215" s="18" t="n">
        <v>323010.39</v>
      </c>
      <c r="F215" s="24" t="str">
        <f aca="false">IF(E215&gt;=MUS_Parametros!$B$12,"SIM","NÃO")</f>
        <v>NÃO</v>
      </c>
      <c r="G215" s="18" t="n">
        <v>323010.39</v>
      </c>
      <c r="H215" s="21" t="n">
        <f aca="false">E215-G215</f>
        <v>0</v>
      </c>
      <c r="I215" s="25" t="n">
        <f aca="false">IF(F215="SIM","",H215/E215)</f>
        <v>0</v>
      </c>
    </row>
    <row r="216" customFormat="false" ht="15" hidden="false" customHeight="false" outlineLevel="0" collapsed="false">
      <c r="A216" s="7" t="s">
        <v>520</v>
      </c>
      <c r="B216" s="7" t="s">
        <v>198</v>
      </c>
      <c r="C216" s="7" t="s">
        <v>285</v>
      </c>
      <c r="D216" s="7" t="s">
        <v>273</v>
      </c>
      <c r="E216" s="18" t="n">
        <v>15048.01</v>
      </c>
      <c r="F216" s="24" t="str">
        <f aca="false">IF(E216&gt;=MUS_Parametros!$B$12,"SIM","NÃO")</f>
        <v>NÃO</v>
      </c>
      <c r="G216" s="18" t="n">
        <v>15048.01</v>
      </c>
      <c r="H216" s="21" t="n">
        <f aca="false">E216-G216</f>
        <v>0</v>
      </c>
      <c r="I216" s="25" t="n">
        <f aca="false">IF(F216="SIM","",H216/E216)</f>
        <v>0</v>
      </c>
    </row>
    <row r="217" customFormat="false" ht="15" hidden="false" customHeight="false" outlineLevel="0" collapsed="false">
      <c r="A217" s="7" t="s">
        <v>521</v>
      </c>
      <c r="B217" s="7" t="s">
        <v>198</v>
      </c>
      <c r="C217" s="7" t="s">
        <v>287</v>
      </c>
      <c r="D217" s="7" t="s">
        <v>273</v>
      </c>
      <c r="E217" s="18" t="n">
        <v>1057164.85</v>
      </c>
      <c r="F217" s="24" t="str">
        <f aca="false">IF(E217&gt;=MUS_Parametros!$B$12,"SIM","NÃO")</f>
        <v>NÃO</v>
      </c>
      <c r="G217" s="18" t="n">
        <v>1057164.85</v>
      </c>
      <c r="H217" s="21" t="n">
        <f aca="false">E217-G217</f>
        <v>0</v>
      </c>
      <c r="I217" s="25" t="n">
        <f aca="false">IF(F217="SIM","",H217/E217)</f>
        <v>0</v>
      </c>
    </row>
    <row r="218" customFormat="false" ht="15" hidden="false" customHeight="false" outlineLevel="0" collapsed="false">
      <c r="A218" s="7" t="s">
        <v>522</v>
      </c>
      <c r="B218" s="7" t="s">
        <v>198</v>
      </c>
      <c r="C218" s="7" t="s">
        <v>523</v>
      </c>
      <c r="D218" s="7" t="s">
        <v>273</v>
      </c>
      <c r="E218" s="18" t="n">
        <v>992856.08</v>
      </c>
      <c r="F218" s="24" t="str">
        <f aca="false">IF(E218&gt;=MUS_Parametros!$B$12,"SIM","NÃO")</f>
        <v>NÃO</v>
      </c>
      <c r="G218" s="18" t="n">
        <v>0</v>
      </c>
      <c r="H218" s="21" t="n">
        <f aca="false">E218-G218</f>
        <v>992856.08</v>
      </c>
      <c r="I218" s="25" t="n">
        <f aca="false">IF(F218="SIM","",H218/E218)</f>
        <v>1</v>
      </c>
    </row>
    <row r="219" customFormat="false" ht="15" hidden="false" customHeight="false" outlineLevel="0" collapsed="false">
      <c r="A219" s="7" t="s">
        <v>524</v>
      </c>
      <c r="B219" s="7" t="s">
        <v>198</v>
      </c>
      <c r="C219" s="7" t="s">
        <v>330</v>
      </c>
      <c r="D219" s="7" t="s">
        <v>273</v>
      </c>
      <c r="E219" s="18" t="n">
        <v>8045.71</v>
      </c>
      <c r="F219" s="24" t="str">
        <f aca="false">IF(E219&gt;=MUS_Parametros!$B$12,"SIM","NÃO")</f>
        <v>NÃO</v>
      </c>
      <c r="G219" s="18" t="n">
        <v>8045.71</v>
      </c>
      <c r="H219" s="21" t="n">
        <f aca="false">E219-G219</f>
        <v>0</v>
      </c>
      <c r="I219" s="25" t="n">
        <f aca="false">IF(F219="SIM","",H219/E219)</f>
        <v>0</v>
      </c>
    </row>
    <row r="220" customFormat="false" ht="15" hidden="false" customHeight="false" outlineLevel="0" collapsed="false">
      <c r="A220" s="7" t="s">
        <v>525</v>
      </c>
      <c r="B220" s="7" t="s">
        <v>198</v>
      </c>
      <c r="C220" s="7" t="s">
        <v>330</v>
      </c>
      <c r="D220" s="7" t="s">
        <v>273</v>
      </c>
      <c r="E220" s="18" t="n">
        <v>11372.62</v>
      </c>
      <c r="F220" s="24" t="str">
        <f aca="false">IF(E220&gt;=MUS_Parametros!$B$12,"SIM","NÃO")</f>
        <v>NÃO</v>
      </c>
      <c r="G220" s="18" t="n">
        <v>11372.62</v>
      </c>
      <c r="H220" s="21" t="n">
        <f aca="false">E220-G220</f>
        <v>0</v>
      </c>
      <c r="I220" s="25" t="n">
        <f aca="false">IF(F220="SIM","",H220/E220)</f>
        <v>0</v>
      </c>
    </row>
    <row r="221" customFormat="false" ht="15" hidden="false" customHeight="false" outlineLevel="0" collapsed="false">
      <c r="A221" s="7" t="s">
        <v>526</v>
      </c>
      <c r="B221" s="7" t="s">
        <v>198</v>
      </c>
      <c r="C221" s="7" t="s">
        <v>272</v>
      </c>
      <c r="D221" s="7" t="s">
        <v>273</v>
      </c>
      <c r="E221" s="18" t="n">
        <v>542705.89</v>
      </c>
      <c r="F221" s="24" t="str">
        <f aca="false">IF(E221&gt;=MUS_Parametros!$B$12,"SIM","NÃO")</f>
        <v>NÃO</v>
      </c>
      <c r="G221" s="18" t="n">
        <v>542705.89</v>
      </c>
      <c r="H221" s="21" t="n">
        <f aca="false">E221-G221</f>
        <v>0</v>
      </c>
      <c r="I221" s="25" t="n">
        <f aca="false">IF(F221="SIM","",H221/E221)</f>
        <v>0</v>
      </c>
    </row>
    <row r="222" customFormat="false" ht="15" hidden="false" customHeight="false" outlineLevel="0" collapsed="false">
      <c r="A222" s="7" t="s">
        <v>527</v>
      </c>
      <c r="B222" s="7" t="s">
        <v>198</v>
      </c>
      <c r="C222" s="7" t="s">
        <v>287</v>
      </c>
      <c r="D222" s="7" t="s">
        <v>273</v>
      </c>
      <c r="E222" s="18" t="n">
        <v>1743085.51</v>
      </c>
      <c r="F222" s="24" t="str">
        <f aca="false">IF(E222&gt;=MUS_Parametros!$B$12,"SIM","NÃO")</f>
        <v>NÃO</v>
      </c>
      <c r="G222" s="18" t="n">
        <v>1743085.51</v>
      </c>
      <c r="H222" s="21" t="n">
        <f aca="false">E222-G222</f>
        <v>0</v>
      </c>
      <c r="I222" s="25" t="n">
        <f aca="false">IF(F222="SIM","",H222/E222)</f>
        <v>0</v>
      </c>
    </row>
    <row r="223" customFormat="false" ht="15" hidden="false" customHeight="false" outlineLevel="0" collapsed="false">
      <c r="A223" s="7" t="s">
        <v>528</v>
      </c>
      <c r="B223" s="7" t="s">
        <v>198</v>
      </c>
      <c r="C223" s="7" t="s">
        <v>287</v>
      </c>
      <c r="D223" s="7" t="s">
        <v>273</v>
      </c>
      <c r="E223" s="18" t="n">
        <v>2779110.55</v>
      </c>
      <c r="F223" s="24" t="str">
        <f aca="false">IF(E223&gt;=MUS_Parametros!$B$12,"SIM","NÃO")</f>
        <v>NÃO</v>
      </c>
      <c r="G223" s="18" t="n">
        <v>2779110.55</v>
      </c>
      <c r="H223" s="21" t="n">
        <f aca="false">E223-G223</f>
        <v>0</v>
      </c>
      <c r="I223" s="25" t="n">
        <f aca="false">IF(F223="SIM","",H223/E223)</f>
        <v>0</v>
      </c>
    </row>
    <row r="224" customFormat="false" ht="15" hidden="false" customHeight="false" outlineLevel="0" collapsed="false">
      <c r="A224" s="7" t="s">
        <v>529</v>
      </c>
      <c r="B224" s="7" t="s">
        <v>198</v>
      </c>
      <c r="C224" s="7" t="s">
        <v>287</v>
      </c>
      <c r="D224" s="7" t="s">
        <v>273</v>
      </c>
      <c r="E224" s="18" t="n">
        <v>382528.77</v>
      </c>
      <c r="F224" s="24" t="str">
        <f aca="false">IF(E224&gt;=MUS_Parametros!$B$12,"SIM","NÃO")</f>
        <v>NÃO</v>
      </c>
      <c r="G224" s="18" t="n">
        <v>382528.77</v>
      </c>
      <c r="H224" s="21" t="n">
        <f aca="false">E224-G224</f>
        <v>0</v>
      </c>
      <c r="I224" s="25" t="n">
        <f aca="false">IF(F224="SIM","",H224/E224)</f>
        <v>0</v>
      </c>
    </row>
    <row r="225" customFormat="false" ht="15" hidden="false" customHeight="false" outlineLevel="0" collapsed="false">
      <c r="A225" s="7" t="s">
        <v>530</v>
      </c>
      <c r="B225" s="7" t="s">
        <v>198</v>
      </c>
      <c r="C225" s="7" t="s">
        <v>280</v>
      </c>
      <c r="D225" s="7" t="s">
        <v>273</v>
      </c>
      <c r="E225" s="18" t="n">
        <v>26802.09</v>
      </c>
      <c r="F225" s="24" t="str">
        <f aca="false">IF(E225&gt;=MUS_Parametros!$B$12,"SIM","NÃO")</f>
        <v>NÃO</v>
      </c>
      <c r="G225" s="18" t="n">
        <v>26802.09</v>
      </c>
      <c r="H225" s="21" t="n">
        <f aca="false">E225-G225</f>
        <v>0</v>
      </c>
      <c r="I225" s="25" t="n">
        <f aca="false">IF(F225="SIM","",H225/E225)</f>
        <v>0</v>
      </c>
    </row>
    <row r="226" customFormat="false" ht="15" hidden="false" customHeight="false" outlineLevel="0" collapsed="false">
      <c r="A226" s="7" t="s">
        <v>531</v>
      </c>
      <c r="B226" s="7" t="s">
        <v>198</v>
      </c>
      <c r="C226" s="7" t="s">
        <v>287</v>
      </c>
      <c r="D226" s="7" t="s">
        <v>273</v>
      </c>
      <c r="E226" s="18" t="n">
        <v>1258922.76</v>
      </c>
      <c r="F226" s="24" t="str">
        <f aca="false">IF(E226&gt;=MUS_Parametros!$B$12,"SIM","NÃO")</f>
        <v>NÃO</v>
      </c>
      <c r="G226" s="18" t="n">
        <v>1258922.76</v>
      </c>
      <c r="H226" s="21" t="n">
        <f aca="false">E226-G226</f>
        <v>0</v>
      </c>
      <c r="I226" s="25" t="n">
        <f aca="false">IF(F226="SIM","",H226/E226)</f>
        <v>0</v>
      </c>
    </row>
    <row r="227" customFormat="false" ht="15" hidden="false" customHeight="false" outlineLevel="0" collapsed="false">
      <c r="A227" s="7" t="s">
        <v>532</v>
      </c>
      <c r="B227" s="7" t="s">
        <v>198</v>
      </c>
      <c r="C227" s="7" t="s">
        <v>272</v>
      </c>
      <c r="D227" s="7" t="s">
        <v>273</v>
      </c>
      <c r="E227" s="18" t="n">
        <v>6350183.47</v>
      </c>
      <c r="F227" s="24" t="str">
        <f aca="false">IF(E227&gt;=MUS_Parametros!$B$12,"SIM","NÃO")</f>
        <v>NÃO</v>
      </c>
      <c r="G227" s="18" t="n">
        <v>6350183.47</v>
      </c>
      <c r="H227" s="21" t="n">
        <f aca="false">E227-G227</f>
        <v>0</v>
      </c>
      <c r="I227" s="25" t="n">
        <f aca="false">IF(F227="SIM","",H227/E227)</f>
        <v>0</v>
      </c>
    </row>
    <row r="228" customFormat="false" ht="15" hidden="false" customHeight="false" outlineLevel="0" collapsed="false">
      <c r="A228" s="7" t="s">
        <v>533</v>
      </c>
      <c r="B228" s="7" t="s">
        <v>198</v>
      </c>
      <c r="C228" s="7" t="s">
        <v>280</v>
      </c>
      <c r="D228" s="7" t="s">
        <v>273</v>
      </c>
      <c r="E228" s="18" t="n">
        <v>33128.71</v>
      </c>
      <c r="F228" s="24" t="str">
        <f aca="false">IF(E228&gt;=MUS_Parametros!$B$12,"SIM","NÃO")</f>
        <v>NÃO</v>
      </c>
      <c r="G228" s="18" t="n">
        <v>33128.71</v>
      </c>
      <c r="H228" s="21" t="n">
        <f aca="false">E228-G228</f>
        <v>0</v>
      </c>
      <c r="I228" s="25" t="n">
        <f aca="false">IF(F228="SIM","",H228/E228)</f>
        <v>0</v>
      </c>
    </row>
    <row r="229" customFormat="false" ht="15" hidden="false" customHeight="false" outlineLevel="0" collapsed="false">
      <c r="A229" s="7" t="s">
        <v>534</v>
      </c>
      <c r="B229" s="7" t="s">
        <v>198</v>
      </c>
      <c r="C229" s="7" t="s">
        <v>287</v>
      </c>
      <c r="D229" s="7" t="s">
        <v>273</v>
      </c>
      <c r="E229" s="18" t="n">
        <v>2957732.5</v>
      </c>
      <c r="F229" s="24" t="str">
        <f aca="false">IF(E229&gt;=MUS_Parametros!$B$12,"SIM","NÃO")</f>
        <v>NÃO</v>
      </c>
      <c r="G229" s="18" t="n">
        <v>2957732.5</v>
      </c>
      <c r="H229" s="21" t="n">
        <f aca="false">E229-G229</f>
        <v>0</v>
      </c>
      <c r="I229" s="25" t="n">
        <f aca="false">IF(F229="SIM","",H229/E229)</f>
        <v>0</v>
      </c>
    </row>
    <row r="230" customFormat="false" ht="15" hidden="false" customHeight="false" outlineLevel="0" collapsed="false">
      <c r="A230" s="7" t="s">
        <v>535</v>
      </c>
      <c r="B230" s="7" t="s">
        <v>198</v>
      </c>
      <c r="C230" s="7" t="s">
        <v>280</v>
      </c>
      <c r="D230" s="7" t="s">
        <v>273</v>
      </c>
      <c r="E230" s="18" t="n">
        <v>23334.34</v>
      </c>
      <c r="F230" s="24" t="str">
        <f aca="false">IF(E230&gt;=MUS_Parametros!$B$12,"SIM","NÃO")</f>
        <v>NÃO</v>
      </c>
      <c r="G230" s="18" t="n">
        <v>23334.34</v>
      </c>
      <c r="H230" s="21" t="n">
        <f aca="false">E230-G230</f>
        <v>0</v>
      </c>
      <c r="I230" s="25" t="n">
        <f aca="false">IF(F230="SIM","",H230/E230)</f>
        <v>0</v>
      </c>
    </row>
    <row r="231" customFormat="false" ht="15" hidden="false" customHeight="false" outlineLevel="0" collapsed="false">
      <c r="A231" s="7" t="s">
        <v>536</v>
      </c>
      <c r="B231" s="7" t="s">
        <v>198</v>
      </c>
      <c r="C231" s="7" t="s">
        <v>287</v>
      </c>
      <c r="D231" s="7" t="s">
        <v>273</v>
      </c>
      <c r="E231" s="18" t="n">
        <v>600668.63</v>
      </c>
      <c r="F231" s="24" t="str">
        <f aca="false">IF(E231&gt;=MUS_Parametros!$B$12,"SIM","NÃO")</f>
        <v>NÃO</v>
      </c>
      <c r="G231" s="18" t="n">
        <v>600668.63</v>
      </c>
      <c r="H231" s="21" t="n">
        <f aca="false">E231-G231</f>
        <v>0</v>
      </c>
      <c r="I231" s="25" t="n">
        <f aca="false">IF(F231="SIM","",H231/E231)</f>
        <v>0</v>
      </c>
    </row>
    <row r="232" customFormat="false" ht="15" hidden="false" customHeight="false" outlineLevel="0" collapsed="false">
      <c r="A232" s="7" t="s">
        <v>537</v>
      </c>
      <c r="B232" s="7" t="s">
        <v>198</v>
      </c>
      <c r="C232" s="7" t="s">
        <v>272</v>
      </c>
      <c r="D232" s="7" t="s">
        <v>273</v>
      </c>
      <c r="E232" s="18" t="n">
        <v>3204376.06</v>
      </c>
      <c r="F232" s="24" t="str">
        <f aca="false">IF(E232&gt;=MUS_Parametros!$B$12,"SIM","NÃO")</f>
        <v>NÃO</v>
      </c>
      <c r="G232" s="18" t="n">
        <v>3204376.06</v>
      </c>
      <c r="H232" s="21" t="n">
        <f aca="false">E232-G232</f>
        <v>0</v>
      </c>
      <c r="I232" s="25" t="n">
        <f aca="false">IF(F232="SIM","",H232/E232)</f>
        <v>0</v>
      </c>
    </row>
    <row r="233" customFormat="false" ht="15" hidden="false" customHeight="false" outlineLevel="0" collapsed="false">
      <c r="A233" s="7" t="s">
        <v>538</v>
      </c>
      <c r="B233" s="7" t="s">
        <v>198</v>
      </c>
      <c r="C233" s="7" t="s">
        <v>272</v>
      </c>
      <c r="D233" s="7" t="s">
        <v>273</v>
      </c>
      <c r="E233" s="18" t="n">
        <v>2416931.54</v>
      </c>
      <c r="F233" s="24" t="str">
        <f aca="false">IF(E233&gt;=MUS_Parametros!$B$12,"SIM","NÃO")</f>
        <v>NÃO</v>
      </c>
      <c r="G233" s="18" t="n">
        <v>2416931.54</v>
      </c>
      <c r="H233" s="21" t="n">
        <f aca="false">E233-G233</f>
        <v>0</v>
      </c>
      <c r="I233" s="25" t="n">
        <f aca="false">IF(F233="SIM","",H233/E233)</f>
        <v>0</v>
      </c>
    </row>
    <row r="234" customFormat="false" ht="15" hidden="false" customHeight="false" outlineLevel="0" collapsed="false">
      <c r="A234" s="7" t="s">
        <v>539</v>
      </c>
      <c r="B234" s="7" t="s">
        <v>198</v>
      </c>
      <c r="C234" s="7" t="s">
        <v>330</v>
      </c>
      <c r="D234" s="7" t="s">
        <v>273</v>
      </c>
      <c r="E234" s="18" t="n">
        <v>7094.62</v>
      </c>
      <c r="F234" s="24" t="str">
        <f aca="false">IF(E234&gt;=MUS_Parametros!$B$12,"SIM","NÃO")</f>
        <v>NÃO</v>
      </c>
      <c r="G234" s="18" t="n">
        <v>7094.62</v>
      </c>
      <c r="H234" s="21" t="n">
        <f aca="false">E234-G234</f>
        <v>0</v>
      </c>
      <c r="I234" s="25" t="n">
        <f aca="false">IF(F234="SIM","",H234/E234)</f>
        <v>0</v>
      </c>
    </row>
    <row r="235" customFormat="false" ht="15" hidden="false" customHeight="false" outlineLevel="0" collapsed="false">
      <c r="A235" s="7" t="s">
        <v>540</v>
      </c>
      <c r="B235" s="7" t="s">
        <v>198</v>
      </c>
      <c r="C235" s="7" t="s">
        <v>287</v>
      </c>
      <c r="D235" s="7" t="s">
        <v>273</v>
      </c>
      <c r="E235" s="18" t="n">
        <v>1022830.34</v>
      </c>
      <c r="F235" s="24" t="str">
        <f aca="false">IF(E235&gt;=MUS_Parametros!$B$12,"SIM","NÃO")</f>
        <v>NÃO</v>
      </c>
      <c r="G235" s="18" t="n">
        <v>1022830.34</v>
      </c>
      <c r="H235" s="21" t="n">
        <f aca="false">E235-G235</f>
        <v>0</v>
      </c>
      <c r="I235" s="25" t="n">
        <f aca="false">IF(F235="SIM","",H235/E235)</f>
        <v>0</v>
      </c>
    </row>
    <row r="236" customFormat="false" ht="15" hidden="false" customHeight="false" outlineLevel="0" collapsed="false">
      <c r="A236" s="7" t="s">
        <v>541</v>
      </c>
      <c r="B236" s="7" t="s">
        <v>198</v>
      </c>
      <c r="C236" s="7" t="s">
        <v>287</v>
      </c>
      <c r="D236" s="7" t="s">
        <v>273</v>
      </c>
      <c r="E236" s="18" t="n">
        <v>860232.21</v>
      </c>
      <c r="F236" s="24" t="str">
        <f aca="false">IF(E236&gt;=MUS_Parametros!$B$12,"SIM","NÃO")</f>
        <v>NÃO</v>
      </c>
      <c r="G236" s="18" t="n">
        <v>860232.21</v>
      </c>
      <c r="H236" s="21" t="n">
        <f aca="false">E236-G236</f>
        <v>0</v>
      </c>
      <c r="I236" s="25" t="n">
        <f aca="false">IF(F236="SIM","",H236/E236)</f>
        <v>0</v>
      </c>
    </row>
    <row r="237" customFormat="false" ht="15" hidden="false" customHeight="false" outlineLevel="0" collapsed="false">
      <c r="A237" s="7" t="s">
        <v>542</v>
      </c>
      <c r="B237" s="7" t="s">
        <v>198</v>
      </c>
      <c r="C237" s="7" t="s">
        <v>287</v>
      </c>
      <c r="D237" s="7" t="s">
        <v>273</v>
      </c>
      <c r="E237" s="18" t="n">
        <v>2934644.11</v>
      </c>
      <c r="F237" s="24" t="str">
        <f aca="false">IF(E237&gt;=MUS_Parametros!$B$12,"SIM","NÃO")</f>
        <v>NÃO</v>
      </c>
      <c r="G237" s="18" t="n">
        <v>2934644.11</v>
      </c>
      <c r="H237" s="21" t="n">
        <f aca="false">E237-G237</f>
        <v>0</v>
      </c>
      <c r="I237" s="25" t="n">
        <f aca="false">IF(F237="SIM","",H237/E237)</f>
        <v>0</v>
      </c>
    </row>
    <row r="238" customFormat="false" ht="15" hidden="false" customHeight="false" outlineLevel="0" collapsed="false">
      <c r="A238" s="7" t="s">
        <v>543</v>
      </c>
      <c r="B238" s="7" t="s">
        <v>200</v>
      </c>
      <c r="C238" s="7" t="s">
        <v>544</v>
      </c>
      <c r="D238" s="7" t="s">
        <v>273</v>
      </c>
      <c r="E238" s="18" t="n">
        <v>26421777.96</v>
      </c>
      <c r="F238" s="24" t="str">
        <f aca="false">IF(E238&gt;=MUS_Parametros!$B$12,"SIM","NÃO")</f>
        <v>NÃO</v>
      </c>
      <c r="G238" s="18" t="n">
        <v>26421777.96</v>
      </c>
      <c r="H238" s="21" t="n">
        <f aca="false">E238-G238</f>
        <v>0</v>
      </c>
      <c r="I238" s="25" t="n">
        <f aca="false">IF(F238="SIM","",H238/E238)</f>
        <v>0</v>
      </c>
    </row>
    <row r="239" customFormat="false" ht="15" hidden="false" customHeight="false" outlineLevel="0" collapsed="false">
      <c r="A239" s="7" t="s">
        <v>545</v>
      </c>
      <c r="B239" s="7" t="s">
        <v>198</v>
      </c>
      <c r="C239" s="7" t="s">
        <v>287</v>
      </c>
      <c r="D239" s="7" t="s">
        <v>273</v>
      </c>
      <c r="E239" s="18" t="n">
        <v>765433.02</v>
      </c>
      <c r="F239" s="24" t="str">
        <f aca="false">IF(E239&gt;=MUS_Parametros!$B$12,"SIM","NÃO")</f>
        <v>NÃO</v>
      </c>
      <c r="G239" s="18" t="n">
        <v>765433.02</v>
      </c>
      <c r="H239" s="21" t="n">
        <f aca="false">E239-G239</f>
        <v>0</v>
      </c>
      <c r="I239" s="25" t="n">
        <f aca="false">IF(F239="SIM","",H239/E239)</f>
        <v>0</v>
      </c>
    </row>
    <row r="240" customFormat="false" ht="15" hidden="false" customHeight="false" outlineLevel="0" collapsed="false">
      <c r="A240" s="7" t="s">
        <v>546</v>
      </c>
      <c r="B240" s="7" t="s">
        <v>198</v>
      </c>
      <c r="C240" s="7" t="s">
        <v>287</v>
      </c>
      <c r="D240" s="7" t="s">
        <v>273</v>
      </c>
      <c r="E240" s="18" t="n">
        <v>444999.7</v>
      </c>
      <c r="F240" s="24" t="str">
        <f aca="false">IF(E240&gt;=MUS_Parametros!$B$12,"SIM","NÃO")</f>
        <v>NÃO</v>
      </c>
      <c r="G240" s="18" t="n">
        <v>444999.7</v>
      </c>
      <c r="H240" s="21" t="n">
        <f aca="false">E240-G240</f>
        <v>0</v>
      </c>
      <c r="I240" s="25" t="n">
        <f aca="false">IF(F240="SIM","",H240/E240)</f>
        <v>0</v>
      </c>
    </row>
    <row r="241" customFormat="false" ht="15" hidden="false" customHeight="false" outlineLevel="0" collapsed="false">
      <c r="A241" s="7" t="s">
        <v>547</v>
      </c>
      <c r="B241" s="7" t="s">
        <v>198</v>
      </c>
      <c r="C241" s="7" t="s">
        <v>272</v>
      </c>
      <c r="D241" s="7" t="s">
        <v>273</v>
      </c>
      <c r="E241" s="18" t="n">
        <v>870507.58</v>
      </c>
      <c r="F241" s="24" t="str">
        <f aca="false">IF(E241&gt;=MUS_Parametros!$B$12,"SIM","NÃO")</f>
        <v>NÃO</v>
      </c>
      <c r="G241" s="18" t="n">
        <v>870507.58</v>
      </c>
      <c r="H241" s="21" t="n">
        <f aca="false">E241-G241</f>
        <v>0</v>
      </c>
      <c r="I241" s="25" t="n">
        <f aca="false">IF(F241="SIM","",H241/E241)</f>
        <v>0</v>
      </c>
    </row>
    <row r="242" customFormat="false" ht="15" hidden="false" customHeight="false" outlineLevel="0" collapsed="false">
      <c r="A242" s="7" t="s">
        <v>548</v>
      </c>
      <c r="B242" s="7" t="s">
        <v>198</v>
      </c>
      <c r="C242" s="7" t="s">
        <v>280</v>
      </c>
      <c r="D242" s="7" t="s">
        <v>273</v>
      </c>
      <c r="E242" s="18" t="n">
        <v>36901.13</v>
      </c>
      <c r="F242" s="24" t="str">
        <f aca="false">IF(E242&gt;=MUS_Parametros!$B$12,"SIM","NÃO")</f>
        <v>NÃO</v>
      </c>
      <c r="G242" s="18" t="n">
        <v>36901.13</v>
      </c>
      <c r="H242" s="21" t="n">
        <f aca="false">E242-G242</f>
        <v>0</v>
      </c>
      <c r="I242" s="25" t="n">
        <f aca="false">IF(F242="SIM","",H242/E242)</f>
        <v>0</v>
      </c>
    </row>
    <row r="243" customFormat="false" ht="15" hidden="false" customHeight="false" outlineLevel="0" collapsed="false">
      <c r="A243" s="7" t="s">
        <v>549</v>
      </c>
      <c r="B243" s="7" t="s">
        <v>196</v>
      </c>
      <c r="C243" s="7" t="s">
        <v>550</v>
      </c>
      <c r="D243" s="7" t="s">
        <v>273</v>
      </c>
      <c r="E243" s="18" t="n">
        <v>490000000</v>
      </c>
      <c r="F243" s="24" t="str">
        <f aca="false">IF(E243&gt;=MUS_Parametros!$B$12,"SIM","NÃO")</f>
        <v>SIM</v>
      </c>
      <c r="G243" s="18" t="n">
        <v>490000000</v>
      </c>
      <c r="H243" s="21" t="n">
        <f aca="false">E243-G243</f>
        <v>0</v>
      </c>
      <c r="I243" s="25" t="str">
        <f aca="false">IF(F243="SIM","",H243/E243)</f>
        <v/>
      </c>
    </row>
    <row r="244" customFormat="false" ht="15" hidden="false" customHeight="false" outlineLevel="0" collapsed="false">
      <c r="A244" s="7" t="s">
        <v>551</v>
      </c>
      <c r="B244" s="7" t="s">
        <v>198</v>
      </c>
      <c r="C244" s="7" t="s">
        <v>280</v>
      </c>
      <c r="D244" s="7" t="s">
        <v>273</v>
      </c>
      <c r="E244" s="18" t="n">
        <v>41620.31</v>
      </c>
      <c r="F244" s="24" t="str">
        <f aca="false">IF(E244&gt;=MUS_Parametros!$B$12,"SIM","NÃO")</f>
        <v>NÃO</v>
      </c>
      <c r="G244" s="18" t="n">
        <v>41620.31</v>
      </c>
      <c r="H244" s="21" t="n">
        <f aca="false">E244-G244</f>
        <v>0</v>
      </c>
      <c r="I244" s="25" t="n">
        <f aca="false">IF(F244="SIM","",H244/E244)</f>
        <v>0</v>
      </c>
    </row>
    <row r="245" customFormat="false" ht="15" hidden="false" customHeight="false" outlineLevel="0" collapsed="false">
      <c r="A245" s="7" t="s">
        <v>552</v>
      </c>
      <c r="B245" s="7" t="s">
        <v>198</v>
      </c>
      <c r="C245" s="7" t="s">
        <v>280</v>
      </c>
      <c r="D245" s="7" t="s">
        <v>273</v>
      </c>
      <c r="E245" s="18" t="n">
        <v>67283.79</v>
      </c>
      <c r="F245" s="24" t="str">
        <f aca="false">IF(E245&gt;=MUS_Parametros!$B$12,"SIM","NÃO")</f>
        <v>NÃO</v>
      </c>
      <c r="G245" s="18" t="n">
        <v>67283.79</v>
      </c>
      <c r="H245" s="21" t="n">
        <f aca="false">E245-G245</f>
        <v>0</v>
      </c>
      <c r="I245" s="25" t="n">
        <f aca="false">IF(F245="SIM","",H245/E245)</f>
        <v>0</v>
      </c>
    </row>
    <row r="246" customFormat="false" ht="15" hidden="false" customHeight="false" outlineLevel="0" collapsed="false">
      <c r="A246" s="7" t="s">
        <v>553</v>
      </c>
      <c r="B246" s="7" t="s">
        <v>194</v>
      </c>
      <c r="C246" s="7" t="s">
        <v>554</v>
      </c>
      <c r="D246" s="7" t="s">
        <v>273</v>
      </c>
      <c r="E246" s="18" t="n">
        <v>1217959600</v>
      </c>
      <c r="F246" s="24" t="str">
        <f aca="false">IF(E246&gt;=MUS_Parametros!$B$12,"SIM","NÃO")</f>
        <v>SIM</v>
      </c>
      <c r="G246" s="18" t="n">
        <v>1217959600</v>
      </c>
      <c r="H246" s="21" t="n">
        <f aca="false">E246-G246</f>
        <v>0</v>
      </c>
      <c r="I246" s="25" t="str">
        <f aca="false">IF(F246="SIM","",H246/E246)</f>
        <v/>
      </c>
    </row>
    <row r="247" customFormat="false" ht="15" hidden="false" customHeight="false" outlineLevel="0" collapsed="false">
      <c r="A247" s="7" t="s">
        <v>555</v>
      </c>
      <c r="B247" s="7" t="s">
        <v>198</v>
      </c>
      <c r="C247" s="7" t="s">
        <v>287</v>
      </c>
      <c r="D247" s="7" t="s">
        <v>273</v>
      </c>
      <c r="E247" s="18" t="n">
        <v>910528.35</v>
      </c>
      <c r="F247" s="24" t="str">
        <f aca="false">IF(E247&gt;=MUS_Parametros!$B$12,"SIM","NÃO")</f>
        <v>NÃO</v>
      </c>
      <c r="G247" s="18" t="n">
        <v>910528.35</v>
      </c>
      <c r="H247" s="21" t="n">
        <f aca="false">E247-G247</f>
        <v>0</v>
      </c>
      <c r="I247" s="25" t="n">
        <f aca="false">IF(F247="SIM","",H247/E247)</f>
        <v>0</v>
      </c>
    </row>
    <row r="248" customFormat="false" ht="15" hidden="false" customHeight="false" outlineLevel="0" collapsed="false">
      <c r="A248" s="7" t="s">
        <v>556</v>
      </c>
      <c r="B248" s="7" t="s">
        <v>198</v>
      </c>
      <c r="C248" s="7" t="s">
        <v>283</v>
      </c>
      <c r="D248" s="7" t="s">
        <v>273</v>
      </c>
      <c r="E248" s="18" t="n">
        <v>352485.6</v>
      </c>
      <c r="F248" s="24" t="str">
        <f aca="false">IF(E248&gt;=MUS_Parametros!$B$12,"SIM","NÃO")</f>
        <v>NÃO</v>
      </c>
      <c r="G248" s="18" t="n">
        <v>352485.6</v>
      </c>
      <c r="H248" s="21" t="n">
        <f aca="false">E248-G248</f>
        <v>0</v>
      </c>
      <c r="I248" s="25" t="n">
        <f aca="false">IF(F248="SIM","",H248/E248)</f>
        <v>0</v>
      </c>
    </row>
    <row r="249" customFormat="false" ht="15" hidden="false" customHeight="false" outlineLevel="0" collapsed="false">
      <c r="A249" s="7" t="s">
        <v>557</v>
      </c>
      <c r="B249" s="7" t="s">
        <v>200</v>
      </c>
      <c r="C249" s="7" t="s">
        <v>558</v>
      </c>
      <c r="D249" s="7" t="s">
        <v>273</v>
      </c>
      <c r="E249" s="18" t="n">
        <v>34977839.98</v>
      </c>
      <c r="F249" s="24" t="str">
        <f aca="false">IF(E249&gt;=MUS_Parametros!$B$12,"SIM","NÃO")</f>
        <v>SIM</v>
      </c>
      <c r="G249" s="18" t="n">
        <v>34977839.98</v>
      </c>
      <c r="H249" s="21" t="n">
        <f aca="false">E249-G249</f>
        <v>0</v>
      </c>
      <c r="I249" s="25" t="str">
        <f aca="false">IF(F249="SIM","",H249/E249)</f>
        <v/>
      </c>
    </row>
    <row r="250" customFormat="false" ht="15" hidden="false" customHeight="false" outlineLevel="0" collapsed="false">
      <c r="A250" s="7" t="s">
        <v>559</v>
      </c>
      <c r="B250" s="7" t="s">
        <v>200</v>
      </c>
      <c r="C250" s="7" t="s">
        <v>560</v>
      </c>
      <c r="D250" s="7" t="s">
        <v>273</v>
      </c>
      <c r="E250" s="18" t="n">
        <v>29803251.67</v>
      </c>
      <c r="F250" s="24" t="str">
        <f aca="false">IF(E250&gt;=MUS_Parametros!$B$12,"SIM","NÃO")</f>
        <v>NÃO</v>
      </c>
      <c r="G250" s="18" t="n">
        <v>29803251.67</v>
      </c>
      <c r="H250" s="21" t="n">
        <f aca="false">E250-G250</f>
        <v>0</v>
      </c>
      <c r="I250" s="25" t="n">
        <f aca="false">IF(F250="SIM","",H250/E250)</f>
        <v>0</v>
      </c>
    </row>
    <row r="251" customFormat="false" ht="15" hidden="false" customHeight="false" outlineLevel="0" collapsed="false">
      <c r="A251" s="7" t="s">
        <v>561</v>
      </c>
      <c r="B251" s="7" t="s">
        <v>198</v>
      </c>
      <c r="C251" s="7" t="s">
        <v>287</v>
      </c>
      <c r="D251" s="7" t="s">
        <v>273</v>
      </c>
      <c r="E251" s="18" t="n">
        <v>1502840.82</v>
      </c>
      <c r="F251" s="24" t="str">
        <f aca="false">IF(E251&gt;=MUS_Parametros!$B$12,"SIM","NÃO")</f>
        <v>NÃO</v>
      </c>
      <c r="G251" s="18" t="n">
        <v>1502840.82</v>
      </c>
      <c r="H251" s="21" t="n">
        <f aca="false">E251-G251</f>
        <v>0</v>
      </c>
      <c r="I251" s="25" t="n">
        <f aca="false">IF(F251="SIM","",H251/E251)</f>
        <v>0</v>
      </c>
    </row>
    <row r="252" customFormat="false" ht="15" hidden="false" customHeight="false" outlineLevel="0" collapsed="false">
      <c r="A252" s="7" t="s">
        <v>562</v>
      </c>
      <c r="B252" s="7" t="s">
        <v>198</v>
      </c>
      <c r="C252" s="7" t="s">
        <v>287</v>
      </c>
      <c r="D252" s="7" t="s">
        <v>273</v>
      </c>
      <c r="E252" s="18" t="n">
        <v>268363.77</v>
      </c>
      <c r="F252" s="24" t="str">
        <f aca="false">IF(E252&gt;=MUS_Parametros!$B$12,"SIM","NÃO")</f>
        <v>NÃO</v>
      </c>
      <c r="G252" s="18" t="n">
        <v>268363.77</v>
      </c>
      <c r="H252" s="21" t="n">
        <f aca="false">E252-G252</f>
        <v>0</v>
      </c>
      <c r="I252" s="25" t="n">
        <f aca="false">IF(F252="SIM","",H252/E252)</f>
        <v>0</v>
      </c>
    </row>
    <row r="253" customFormat="false" ht="15" hidden="false" customHeight="false" outlineLevel="0" collapsed="false">
      <c r="A253" s="7" t="s">
        <v>563</v>
      </c>
      <c r="B253" s="7" t="s">
        <v>200</v>
      </c>
      <c r="C253" s="7" t="s">
        <v>564</v>
      </c>
      <c r="D253" s="7" t="s">
        <v>273</v>
      </c>
      <c r="E253" s="18" t="n">
        <v>25570563.21</v>
      </c>
      <c r="F253" s="24" t="str">
        <f aca="false">IF(E253&gt;=MUS_Parametros!$B$12,"SIM","NÃO")</f>
        <v>NÃO</v>
      </c>
      <c r="G253" s="18" t="n">
        <v>25570563.21</v>
      </c>
      <c r="H253" s="21" t="n">
        <f aca="false">E253-G253</f>
        <v>0</v>
      </c>
      <c r="I253" s="25" t="n">
        <f aca="false">IF(F253="SIM","",H253/E253)</f>
        <v>0</v>
      </c>
    </row>
    <row r="254" customFormat="false" ht="15" hidden="false" customHeight="false" outlineLevel="0" collapsed="false">
      <c r="A254" s="7" t="s">
        <v>565</v>
      </c>
      <c r="B254" s="7" t="s">
        <v>198</v>
      </c>
      <c r="C254" s="7" t="s">
        <v>287</v>
      </c>
      <c r="D254" s="7" t="s">
        <v>273</v>
      </c>
      <c r="E254" s="18" t="n">
        <v>491944.12</v>
      </c>
      <c r="F254" s="24" t="str">
        <f aca="false">IF(E254&gt;=MUS_Parametros!$B$12,"SIM","NÃO")</f>
        <v>NÃO</v>
      </c>
      <c r="G254" s="18" t="n">
        <v>491944.12</v>
      </c>
      <c r="H254" s="21" t="n">
        <f aca="false">E254-G254</f>
        <v>0</v>
      </c>
      <c r="I254" s="25" t="n">
        <f aca="false">IF(F254="SIM","",H254/E254)</f>
        <v>0</v>
      </c>
    </row>
    <row r="255" customFormat="false" ht="15" hidden="false" customHeight="false" outlineLevel="0" collapsed="false">
      <c r="A255" s="7" t="s">
        <v>566</v>
      </c>
      <c r="B255" s="7" t="s">
        <v>198</v>
      </c>
      <c r="C255" s="7" t="s">
        <v>280</v>
      </c>
      <c r="D255" s="7" t="s">
        <v>273</v>
      </c>
      <c r="E255" s="18" t="n">
        <v>17301.36</v>
      </c>
      <c r="F255" s="24" t="str">
        <f aca="false">IF(E255&gt;=MUS_Parametros!$B$12,"SIM","NÃO")</f>
        <v>NÃO</v>
      </c>
      <c r="G255" s="18" t="n">
        <v>17301.36</v>
      </c>
      <c r="H255" s="21" t="n">
        <f aca="false">E255-G255</f>
        <v>0</v>
      </c>
      <c r="I255" s="25" t="n">
        <f aca="false">IF(F255="SIM","",H255/E255)</f>
        <v>0</v>
      </c>
    </row>
    <row r="256" customFormat="false" ht="15" hidden="false" customHeight="false" outlineLevel="0" collapsed="false">
      <c r="A256" s="7" t="s">
        <v>567</v>
      </c>
      <c r="B256" s="7" t="s">
        <v>198</v>
      </c>
      <c r="C256" s="7" t="s">
        <v>330</v>
      </c>
      <c r="D256" s="7" t="s">
        <v>273</v>
      </c>
      <c r="E256" s="18" t="n">
        <v>3891.58</v>
      </c>
      <c r="F256" s="24" t="str">
        <f aca="false">IF(E256&gt;=MUS_Parametros!$B$12,"SIM","NÃO")</f>
        <v>NÃO</v>
      </c>
      <c r="G256" s="18" t="n">
        <v>3891.58</v>
      </c>
      <c r="H256" s="21" t="n">
        <f aca="false">E256-G256</f>
        <v>0</v>
      </c>
      <c r="I256" s="25" t="n">
        <f aca="false">IF(F256="SIM","",H256/E256)</f>
        <v>0</v>
      </c>
    </row>
    <row r="257" customFormat="false" ht="15" hidden="false" customHeight="false" outlineLevel="0" collapsed="false">
      <c r="A257" s="7" t="s">
        <v>568</v>
      </c>
      <c r="B257" s="7" t="s">
        <v>198</v>
      </c>
      <c r="C257" s="7" t="s">
        <v>272</v>
      </c>
      <c r="D257" s="7" t="s">
        <v>273</v>
      </c>
      <c r="E257" s="18" t="n">
        <v>2384282.87</v>
      </c>
      <c r="F257" s="24" t="str">
        <f aca="false">IF(E257&gt;=MUS_Parametros!$B$12,"SIM","NÃO")</f>
        <v>NÃO</v>
      </c>
      <c r="G257" s="18" t="n">
        <v>2384282.87</v>
      </c>
      <c r="H257" s="21" t="n">
        <f aca="false">E257-G257</f>
        <v>0</v>
      </c>
      <c r="I257" s="25" t="n">
        <f aca="false">IF(F257="SIM","",H257/E257)</f>
        <v>0</v>
      </c>
    </row>
    <row r="258" customFormat="false" ht="15" hidden="false" customHeight="false" outlineLevel="0" collapsed="false">
      <c r="A258" s="7" t="s">
        <v>569</v>
      </c>
      <c r="B258" s="7" t="s">
        <v>198</v>
      </c>
      <c r="C258" s="7" t="s">
        <v>272</v>
      </c>
      <c r="D258" s="7" t="s">
        <v>273</v>
      </c>
      <c r="E258" s="18" t="n">
        <v>1171146.64</v>
      </c>
      <c r="F258" s="24" t="str">
        <f aca="false">IF(E258&gt;=MUS_Parametros!$B$12,"SIM","NÃO")</f>
        <v>NÃO</v>
      </c>
      <c r="G258" s="18" t="n">
        <v>1171146.64</v>
      </c>
      <c r="H258" s="21" t="n">
        <f aca="false">E258-G258</f>
        <v>0</v>
      </c>
      <c r="I258" s="25" t="n">
        <f aca="false">IF(F258="SIM","",H258/E258)</f>
        <v>0</v>
      </c>
    </row>
    <row r="259" customFormat="false" ht="15" hidden="false" customHeight="false" outlineLevel="0" collapsed="false">
      <c r="A259" s="7" t="s">
        <v>570</v>
      </c>
      <c r="B259" s="7" t="s">
        <v>198</v>
      </c>
      <c r="C259" s="7" t="s">
        <v>287</v>
      </c>
      <c r="D259" s="7" t="s">
        <v>273</v>
      </c>
      <c r="E259" s="18" t="n">
        <v>1497339.18</v>
      </c>
      <c r="F259" s="24" t="str">
        <f aca="false">IF(E259&gt;=MUS_Parametros!$B$12,"SIM","NÃO")</f>
        <v>NÃO</v>
      </c>
      <c r="G259" s="18" t="n">
        <v>1497339.18</v>
      </c>
      <c r="H259" s="21" t="n">
        <f aca="false">E259-G259</f>
        <v>0</v>
      </c>
      <c r="I259" s="25" t="n">
        <f aca="false">IF(F259="SIM","",H259/E259)</f>
        <v>0</v>
      </c>
    </row>
    <row r="260" customFormat="false" ht="15" hidden="false" customHeight="false" outlineLevel="0" collapsed="false">
      <c r="A260" s="7" t="s">
        <v>571</v>
      </c>
      <c r="B260" s="7" t="s">
        <v>198</v>
      </c>
      <c r="C260" s="7" t="s">
        <v>287</v>
      </c>
      <c r="D260" s="7" t="s">
        <v>273</v>
      </c>
      <c r="E260" s="18" t="n">
        <v>803444.42</v>
      </c>
      <c r="F260" s="24" t="str">
        <f aca="false">IF(E260&gt;=MUS_Parametros!$B$12,"SIM","NÃO")</f>
        <v>NÃO</v>
      </c>
      <c r="G260" s="18" t="n">
        <v>803444.42</v>
      </c>
      <c r="H260" s="21" t="n">
        <f aca="false">E260-G260</f>
        <v>0</v>
      </c>
      <c r="I260" s="25" t="n">
        <f aca="false">IF(F260="SIM","",H260/E260)</f>
        <v>0</v>
      </c>
    </row>
    <row r="261" customFormat="false" ht="15" hidden="false" customHeight="false" outlineLevel="0" collapsed="false">
      <c r="A261" s="7" t="s">
        <v>572</v>
      </c>
      <c r="B261" s="7" t="s">
        <v>198</v>
      </c>
      <c r="C261" s="7" t="s">
        <v>287</v>
      </c>
      <c r="D261" s="7" t="s">
        <v>273</v>
      </c>
      <c r="E261" s="18" t="n">
        <v>1361693.08</v>
      </c>
      <c r="F261" s="24" t="str">
        <f aca="false">IF(E261&gt;=MUS_Parametros!$B$12,"SIM","NÃO")</f>
        <v>NÃO</v>
      </c>
      <c r="G261" s="18" t="n">
        <v>1361693.08</v>
      </c>
      <c r="H261" s="21" t="n">
        <f aca="false">E261-G261</f>
        <v>0</v>
      </c>
      <c r="I261" s="25" t="n">
        <f aca="false">IF(F261="SIM","",H261/E261)</f>
        <v>0</v>
      </c>
    </row>
    <row r="262" customFormat="false" ht="15" hidden="false" customHeight="false" outlineLevel="0" collapsed="false">
      <c r="A262" s="7" t="s">
        <v>573</v>
      </c>
      <c r="B262" s="7" t="s">
        <v>198</v>
      </c>
      <c r="C262" s="7" t="s">
        <v>330</v>
      </c>
      <c r="D262" s="7" t="s">
        <v>273</v>
      </c>
      <c r="E262" s="18" t="n">
        <v>16138.93</v>
      </c>
      <c r="F262" s="24" t="str">
        <f aca="false">IF(E262&gt;=MUS_Parametros!$B$12,"SIM","NÃO")</f>
        <v>NÃO</v>
      </c>
      <c r="G262" s="18" t="n">
        <v>16138.93</v>
      </c>
      <c r="H262" s="21" t="n">
        <f aca="false">E262-G262</f>
        <v>0</v>
      </c>
      <c r="I262" s="25" t="n">
        <f aca="false">IF(F262="SIM","",H262/E262)</f>
        <v>0</v>
      </c>
    </row>
    <row r="263" customFormat="false" ht="15" hidden="false" customHeight="false" outlineLevel="0" collapsed="false">
      <c r="A263" s="7" t="s">
        <v>574</v>
      </c>
      <c r="B263" s="7" t="s">
        <v>198</v>
      </c>
      <c r="C263" s="7" t="s">
        <v>272</v>
      </c>
      <c r="D263" s="7" t="s">
        <v>273</v>
      </c>
      <c r="E263" s="18" t="n">
        <v>2381546.12</v>
      </c>
      <c r="F263" s="24" t="str">
        <f aca="false">IF(E263&gt;=MUS_Parametros!$B$12,"SIM","NÃO")</f>
        <v>NÃO</v>
      </c>
      <c r="G263" s="18" t="n">
        <v>2381546.12</v>
      </c>
      <c r="H263" s="21" t="n">
        <f aca="false">E263-G263</f>
        <v>0</v>
      </c>
      <c r="I263" s="25" t="n">
        <f aca="false">IF(F263="SIM","",H263/E263)</f>
        <v>0</v>
      </c>
    </row>
    <row r="264" customFormat="false" ht="15" hidden="false" customHeight="false" outlineLevel="0" collapsed="false">
      <c r="A264" s="7" t="s">
        <v>575</v>
      </c>
      <c r="B264" s="7" t="s">
        <v>198</v>
      </c>
      <c r="C264" s="7" t="s">
        <v>272</v>
      </c>
      <c r="D264" s="7" t="s">
        <v>273</v>
      </c>
      <c r="E264" s="18" t="n">
        <v>1676777.11</v>
      </c>
      <c r="F264" s="24" t="str">
        <f aca="false">IF(E264&gt;=MUS_Parametros!$B$12,"SIM","NÃO")</f>
        <v>NÃO</v>
      </c>
      <c r="G264" s="18" t="n">
        <v>1676777.11</v>
      </c>
      <c r="H264" s="21" t="n">
        <f aca="false">E264-G264</f>
        <v>0</v>
      </c>
      <c r="I264" s="25" t="n">
        <f aca="false">IF(F264="SIM","",H264/E264)</f>
        <v>0</v>
      </c>
    </row>
    <row r="265" customFormat="false" ht="15" hidden="false" customHeight="false" outlineLevel="0" collapsed="false">
      <c r="A265" s="7" t="s">
        <v>576</v>
      </c>
      <c r="B265" s="7" t="s">
        <v>198</v>
      </c>
      <c r="C265" s="7" t="s">
        <v>280</v>
      </c>
      <c r="D265" s="7" t="s">
        <v>273</v>
      </c>
      <c r="E265" s="18" t="n">
        <v>106805.14</v>
      </c>
      <c r="F265" s="24" t="str">
        <f aca="false">IF(E265&gt;=MUS_Parametros!$B$12,"SIM","NÃO")</f>
        <v>NÃO</v>
      </c>
      <c r="G265" s="18" t="n">
        <v>106805.14</v>
      </c>
      <c r="H265" s="21" t="n">
        <f aca="false">E265-G265</f>
        <v>0</v>
      </c>
      <c r="I265" s="25" t="n">
        <f aca="false">IF(F265="SIM","",H265/E265)</f>
        <v>0</v>
      </c>
    </row>
    <row r="266" customFormat="false" ht="15" hidden="false" customHeight="false" outlineLevel="0" collapsed="false">
      <c r="A266" s="7" t="s">
        <v>577</v>
      </c>
      <c r="B266" s="7" t="s">
        <v>198</v>
      </c>
      <c r="C266" s="7" t="s">
        <v>272</v>
      </c>
      <c r="D266" s="7" t="s">
        <v>273</v>
      </c>
      <c r="E266" s="18" t="n">
        <v>825902.89</v>
      </c>
      <c r="F266" s="24" t="str">
        <f aca="false">IF(E266&gt;=MUS_Parametros!$B$12,"SIM","NÃO")</f>
        <v>NÃO</v>
      </c>
      <c r="G266" s="18" t="n">
        <v>825902.89</v>
      </c>
      <c r="H266" s="21" t="n">
        <f aca="false">E266-G266</f>
        <v>0</v>
      </c>
      <c r="I266" s="25" t="n">
        <f aca="false">IF(F266="SIM","",H266/E266)</f>
        <v>0</v>
      </c>
    </row>
    <row r="267" customFormat="false" ht="15" hidden="false" customHeight="false" outlineLevel="0" collapsed="false">
      <c r="A267" s="7" t="s">
        <v>578</v>
      </c>
      <c r="B267" s="7" t="s">
        <v>198</v>
      </c>
      <c r="C267" s="7" t="s">
        <v>280</v>
      </c>
      <c r="D267" s="7" t="s">
        <v>273</v>
      </c>
      <c r="E267" s="18" t="n">
        <v>188026.32</v>
      </c>
      <c r="F267" s="24" t="str">
        <f aca="false">IF(E267&gt;=MUS_Parametros!$B$12,"SIM","NÃO")</f>
        <v>NÃO</v>
      </c>
      <c r="G267" s="18" t="n">
        <v>188026.32</v>
      </c>
      <c r="H267" s="21" t="n">
        <f aca="false">E267-G267</f>
        <v>0</v>
      </c>
      <c r="I267" s="25" t="n">
        <f aca="false">IF(F267="SIM","",H267/E267)</f>
        <v>0</v>
      </c>
    </row>
    <row r="268" customFormat="false" ht="15" hidden="false" customHeight="false" outlineLevel="0" collapsed="false">
      <c r="A268" s="7" t="s">
        <v>579</v>
      </c>
      <c r="B268" s="7" t="s">
        <v>198</v>
      </c>
      <c r="C268" s="7" t="s">
        <v>287</v>
      </c>
      <c r="D268" s="7" t="s">
        <v>273</v>
      </c>
      <c r="E268" s="18" t="n">
        <v>721323.69</v>
      </c>
      <c r="F268" s="24" t="str">
        <f aca="false">IF(E268&gt;=MUS_Parametros!$B$12,"SIM","NÃO")</f>
        <v>NÃO</v>
      </c>
      <c r="G268" s="18" t="n">
        <v>721323.69</v>
      </c>
      <c r="H268" s="21" t="n">
        <f aca="false">E268-G268</f>
        <v>0</v>
      </c>
      <c r="I268" s="25" t="n">
        <f aca="false">IF(F268="SIM","",H268/E268)</f>
        <v>0</v>
      </c>
    </row>
    <row r="269" customFormat="false" ht="15" hidden="false" customHeight="false" outlineLevel="0" collapsed="false">
      <c r="A269" s="7" t="s">
        <v>580</v>
      </c>
      <c r="B269" s="7" t="s">
        <v>202</v>
      </c>
      <c r="C269" s="7" t="s">
        <v>581</v>
      </c>
      <c r="D269" s="7" t="s">
        <v>273</v>
      </c>
      <c r="E269" s="18" t="n">
        <v>25799218.48</v>
      </c>
      <c r="F269" s="24" t="str">
        <f aca="false">IF(E269&gt;=MUS_Parametros!$B$12,"SIM","NÃO")</f>
        <v>NÃO</v>
      </c>
      <c r="G269" s="18" t="n">
        <v>25799218.48</v>
      </c>
      <c r="H269" s="21" t="n">
        <f aca="false">E269-G269</f>
        <v>0</v>
      </c>
      <c r="I269" s="25" t="n">
        <f aca="false">IF(F269="SIM","",H269/E269)</f>
        <v>0</v>
      </c>
    </row>
    <row r="270" customFormat="false" ht="15" hidden="false" customHeight="false" outlineLevel="0" collapsed="false">
      <c r="A270" s="7" t="s">
        <v>582</v>
      </c>
      <c r="B270" s="7" t="s">
        <v>198</v>
      </c>
      <c r="C270" s="7" t="s">
        <v>523</v>
      </c>
      <c r="D270" s="7" t="s">
        <v>273</v>
      </c>
      <c r="E270" s="18" t="n">
        <v>330.86</v>
      </c>
      <c r="F270" s="24" t="str">
        <f aca="false">IF(E270&gt;=MUS_Parametros!$B$12,"SIM","NÃO")</f>
        <v>NÃO</v>
      </c>
      <c r="G270" s="18" t="n">
        <v>330.86</v>
      </c>
      <c r="H270" s="21" t="n">
        <f aca="false">E270-G270</f>
        <v>0</v>
      </c>
      <c r="I270" s="25" t="n">
        <f aca="false">IF(F270="SIM","",H270/E270)</f>
        <v>0</v>
      </c>
    </row>
    <row r="271" customFormat="false" ht="15" hidden="false" customHeight="false" outlineLevel="0" collapsed="false">
      <c r="A271" s="7" t="s">
        <v>583</v>
      </c>
      <c r="B271" s="7" t="s">
        <v>200</v>
      </c>
      <c r="C271" s="7" t="s">
        <v>584</v>
      </c>
      <c r="D271" s="7" t="s">
        <v>273</v>
      </c>
      <c r="E271" s="18" t="n">
        <v>31491553.52</v>
      </c>
      <c r="F271" s="24" t="str">
        <f aca="false">IF(E271&gt;=MUS_Parametros!$B$12,"SIM","NÃO")</f>
        <v>NÃO</v>
      </c>
      <c r="G271" s="18" t="n">
        <v>31491553.52</v>
      </c>
      <c r="H271" s="21" t="n">
        <f aca="false">E271-G271</f>
        <v>0</v>
      </c>
      <c r="I271" s="25" t="n">
        <f aca="false">IF(F271="SIM","",H271/E271)</f>
        <v>0</v>
      </c>
    </row>
    <row r="272" customFormat="false" ht="15" hidden="false" customHeight="false" outlineLevel="0" collapsed="false">
      <c r="A272" s="7" t="s">
        <v>585</v>
      </c>
      <c r="B272" s="7" t="s">
        <v>202</v>
      </c>
      <c r="C272" s="7" t="s">
        <v>586</v>
      </c>
      <c r="D272" s="7" t="s">
        <v>273</v>
      </c>
      <c r="E272" s="18" t="n">
        <v>38795343.83</v>
      </c>
      <c r="F272" s="24" t="str">
        <f aca="false">IF(E272&gt;=MUS_Parametros!$B$12,"SIM","NÃO")</f>
        <v>SIM</v>
      </c>
      <c r="G272" s="18" t="n">
        <v>38795343.83</v>
      </c>
      <c r="H272" s="21" t="n">
        <f aca="false">E272-G272</f>
        <v>0</v>
      </c>
      <c r="I272" s="25" t="str">
        <f aca="false">IF(F272="SIM","",H272/E272)</f>
        <v/>
      </c>
    </row>
    <row r="273" customFormat="false" ht="15" hidden="false" customHeight="false" outlineLevel="0" collapsed="false">
      <c r="A273" s="7" t="s">
        <v>587</v>
      </c>
      <c r="B273" s="7" t="s">
        <v>198</v>
      </c>
      <c r="C273" s="7" t="s">
        <v>280</v>
      </c>
      <c r="D273" s="7" t="s">
        <v>273</v>
      </c>
      <c r="E273" s="18" t="n">
        <v>16573.56</v>
      </c>
      <c r="F273" s="24" t="str">
        <f aca="false">IF(E273&gt;=MUS_Parametros!$B$12,"SIM","NÃO")</f>
        <v>NÃO</v>
      </c>
      <c r="G273" s="18" t="n">
        <v>16573.56</v>
      </c>
      <c r="H273" s="21" t="n">
        <f aca="false">E273-G273</f>
        <v>0</v>
      </c>
      <c r="I273" s="25" t="n">
        <f aca="false">IF(F273="SIM","",H273/E273)</f>
        <v>0</v>
      </c>
    </row>
    <row r="274" customFormat="false" ht="15" hidden="false" customHeight="false" outlineLevel="0" collapsed="false">
      <c r="A274" s="7" t="s">
        <v>588</v>
      </c>
      <c r="B274" s="7" t="s">
        <v>198</v>
      </c>
      <c r="C274" s="7" t="s">
        <v>280</v>
      </c>
      <c r="D274" s="7" t="s">
        <v>273</v>
      </c>
      <c r="E274" s="18" t="n">
        <v>21072.12</v>
      </c>
      <c r="F274" s="24" t="str">
        <f aca="false">IF(E274&gt;=MUS_Parametros!$B$12,"SIM","NÃO")</f>
        <v>NÃO</v>
      </c>
      <c r="G274" s="18" t="n">
        <v>21072.12</v>
      </c>
      <c r="H274" s="21" t="n">
        <f aca="false">E274-G274</f>
        <v>0</v>
      </c>
      <c r="I274" s="25" t="n">
        <f aca="false">IF(F274="SIM","",H274/E274)</f>
        <v>0</v>
      </c>
    </row>
    <row r="275" customFormat="false" ht="15" hidden="false" customHeight="false" outlineLevel="0" collapsed="false">
      <c r="A275" s="7" t="s">
        <v>589</v>
      </c>
      <c r="B275" s="7" t="s">
        <v>198</v>
      </c>
      <c r="C275" s="7" t="s">
        <v>287</v>
      </c>
      <c r="D275" s="7" t="s">
        <v>273</v>
      </c>
      <c r="E275" s="18" t="n">
        <v>1442274.41</v>
      </c>
      <c r="F275" s="24" t="str">
        <f aca="false">IF(E275&gt;=MUS_Parametros!$B$12,"SIM","NÃO")</f>
        <v>NÃO</v>
      </c>
      <c r="G275" s="18" t="n">
        <v>1442274.41</v>
      </c>
      <c r="H275" s="21" t="n">
        <f aca="false">E275-G275</f>
        <v>0</v>
      </c>
      <c r="I275" s="25" t="n">
        <f aca="false">IF(F275="SIM","",H275/E275)</f>
        <v>0</v>
      </c>
    </row>
    <row r="276" customFormat="false" ht="15" hidden="false" customHeight="false" outlineLevel="0" collapsed="false">
      <c r="A276" s="7" t="s">
        <v>590</v>
      </c>
      <c r="B276" s="7" t="s">
        <v>198</v>
      </c>
      <c r="C276" s="7" t="s">
        <v>272</v>
      </c>
      <c r="D276" s="7" t="s">
        <v>273</v>
      </c>
      <c r="E276" s="18" t="n">
        <v>4388068.31</v>
      </c>
      <c r="F276" s="24" t="str">
        <f aca="false">IF(E276&gt;=MUS_Parametros!$B$12,"SIM","NÃO")</f>
        <v>NÃO</v>
      </c>
      <c r="G276" s="18" t="n">
        <v>4388068.31</v>
      </c>
      <c r="H276" s="21" t="n">
        <f aca="false">E276-G276</f>
        <v>0</v>
      </c>
      <c r="I276" s="25" t="n">
        <f aca="false">IF(F276="SIM","",H276/E276)</f>
        <v>0</v>
      </c>
    </row>
    <row r="277" customFormat="false" ht="15" hidden="false" customHeight="false" outlineLevel="0" collapsed="false">
      <c r="A277" s="7" t="s">
        <v>591</v>
      </c>
      <c r="B277" s="7" t="s">
        <v>198</v>
      </c>
      <c r="C277" s="7" t="s">
        <v>280</v>
      </c>
      <c r="D277" s="7" t="s">
        <v>273</v>
      </c>
      <c r="E277" s="18" t="n">
        <v>45506.31</v>
      </c>
      <c r="F277" s="24" t="str">
        <f aca="false">IF(E277&gt;=MUS_Parametros!$B$12,"SIM","NÃO")</f>
        <v>NÃO</v>
      </c>
      <c r="G277" s="18" t="n">
        <v>45506.31</v>
      </c>
      <c r="H277" s="21" t="n">
        <f aca="false">E277-G277</f>
        <v>0</v>
      </c>
      <c r="I277" s="25" t="n">
        <f aca="false">IF(F277="SIM","",H277/E277)</f>
        <v>0</v>
      </c>
    </row>
    <row r="278" customFormat="false" ht="15" hidden="false" customHeight="false" outlineLevel="0" collapsed="false">
      <c r="A278" s="7" t="s">
        <v>592</v>
      </c>
      <c r="B278" s="7" t="s">
        <v>198</v>
      </c>
      <c r="C278" s="7" t="s">
        <v>280</v>
      </c>
      <c r="D278" s="7" t="s">
        <v>273</v>
      </c>
      <c r="E278" s="18" t="n">
        <v>33480.6</v>
      </c>
      <c r="F278" s="24" t="str">
        <f aca="false">IF(E278&gt;=MUS_Parametros!$B$12,"SIM","NÃO")</f>
        <v>NÃO</v>
      </c>
      <c r="G278" s="18" t="n">
        <v>33480.6</v>
      </c>
      <c r="H278" s="21" t="n">
        <f aca="false">E278-G278</f>
        <v>0</v>
      </c>
      <c r="I278" s="25" t="n">
        <f aca="false">IF(F278="SIM","",H278/E278)</f>
        <v>0</v>
      </c>
    </row>
    <row r="279" customFormat="false" ht="15" hidden="false" customHeight="false" outlineLevel="0" collapsed="false">
      <c r="A279" s="7" t="s">
        <v>593</v>
      </c>
      <c r="B279" s="7" t="s">
        <v>198</v>
      </c>
      <c r="C279" s="7" t="s">
        <v>280</v>
      </c>
      <c r="D279" s="7" t="s">
        <v>273</v>
      </c>
      <c r="E279" s="18" t="n">
        <v>89061.39</v>
      </c>
      <c r="F279" s="24" t="str">
        <f aca="false">IF(E279&gt;=MUS_Parametros!$B$12,"SIM","NÃO")</f>
        <v>NÃO</v>
      </c>
      <c r="G279" s="18" t="n">
        <v>89061.39</v>
      </c>
      <c r="H279" s="21" t="n">
        <f aca="false">E279-G279</f>
        <v>0</v>
      </c>
      <c r="I279" s="25" t="n">
        <f aca="false">IF(F279="SIM","",H279/E279)</f>
        <v>0</v>
      </c>
    </row>
    <row r="280" customFormat="false" ht="15" hidden="false" customHeight="false" outlineLevel="0" collapsed="false">
      <c r="A280" s="7" t="s">
        <v>594</v>
      </c>
      <c r="B280" s="7" t="s">
        <v>198</v>
      </c>
      <c r="C280" s="7" t="s">
        <v>280</v>
      </c>
      <c r="D280" s="7" t="s">
        <v>273</v>
      </c>
      <c r="E280" s="18" t="n">
        <v>75017.61</v>
      </c>
      <c r="F280" s="24" t="str">
        <f aca="false">IF(E280&gt;=MUS_Parametros!$B$12,"SIM","NÃO")</f>
        <v>NÃO</v>
      </c>
      <c r="G280" s="18" t="n">
        <v>75017.61</v>
      </c>
      <c r="H280" s="21" t="n">
        <f aca="false">E280-G280</f>
        <v>0</v>
      </c>
      <c r="I280" s="25" t="n">
        <f aca="false">IF(F280="SIM","",H280/E280)</f>
        <v>0</v>
      </c>
    </row>
    <row r="281" customFormat="false" ht="15" hidden="false" customHeight="false" outlineLevel="0" collapsed="false">
      <c r="A281" s="7" t="s">
        <v>595</v>
      </c>
      <c r="B281" s="7" t="s">
        <v>198</v>
      </c>
      <c r="C281" s="7" t="s">
        <v>285</v>
      </c>
      <c r="D281" s="7" t="s">
        <v>273</v>
      </c>
      <c r="E281" s="18" t="n">
        <v>16410</v>
      </c>
      <c r="F281" s="24" t="str">
        <f aca="false">IF(E281&gt;=MUS_Parametros!$B$12,"SIM","NÃO")</f>
        <v>NÃO</v>
      </c>
      <c r="G281" s="18" t="n">
        <v>16410</v>
      </c>
      <c r="H281" s="21" t="n">
        <f aca="false">E281-G281</f>
        <v>0</v>
      </c>
      <c r="I281" s="25" t="n">
        <f aca="false">IF(F281="SIM","",H281/E281)</f>
        <v>0</v>
      </c>
    </row>
    <row r="282" customFormat="false" ht="15" hidden="false" customHeight="false" outlineLevel="0" collapsed="false">
      <c r="A282" s="7" t="s">
        <v>596</v>
      </c>
      <c r="B282" s="7" t="s">
        <v>198</v>
      </c>
      <c r="C282" s="7" t="s">
        <v>280</v>
      </c>
      <c r="D282" s="7" t="s">
        <v>273</v>
      </c>
      <c r="E282" s="18" t="n">
        <v>127444.87</v>
      </c>
      <c r="F282" s="24" t="str">
        <f aca="false">IF(E282&gt;=MUS_Parametros!$B$12,"SIM","NÃO")</f>
        <v>NÃO</v>
      </c>
      <c r="G282" s="18" t="n">
        <v>127444.87</v>
      </c>
      <c r="H282" s="21" t="n">
        <f aca="false">E282-G282</f>
        <v>0</v>
      </c>
      <c r="I282" s="25" t="n">
        <f aca="false">IF(F282="SIM","",H282/E282)</f>
        <v>0</v>
      </c>
    </row>
    <row r="283" customFormat="false" ht="15" hidden="false" customHeight="false" outlineLevel="0" collapsed="false">
      <c r="A283" s="7" t="s">
        <v>597</v>
      </c>
      <c r="B283" s="7" t="s">
        <v>198</v>
      </c>
      <c r="C283" s="7" t="s">
        <v>287</v>
      </c>
      <c r="D283" s="7" t="s">
        <v>273</v>
      </c>
      <c r="E283" s="18" t="n">
        <v>744114.87</v>
      </c>
      <c r="F283" s="24" t="str">
        <f aca="false">IF(E283&gt;=MUS_Parametros!$B$12,"SIM","NÃO")</f>
        <v>NÃO</v>
      </c>
      <c r="G283" s="18" t="n">
        <v>744114.87</v>
      </c>
      <c r="H283" s="21" t="n">
        <f aca="false">E283-G283</f>
        <v>0</v>
      </c>
      <c r="I283" s="25" t="n">
        <f aca="false">IF(F283="SIM","",H283/E283)</f>
        <v>0</v>
      </c>
    </row>
    <row r="284" customFormat="false" ht="15" hidden="false" customHeight="false" outlineLevel="0" collapsed="false">
      <c r="A284" s="7" t="s">
        <v>598</v>
      </c>
      <c r="B284" s="7" t="s">
        <v>198</v>
      </c>
      <c r="C284" s="7" t="s">
        <v>283</v>
      </c>
      <c r="D284" s="7" t="s">
        <v>273</v>
      </c>
      <c r="E284" s="18" t="n">
        <v>395409.84</v>
      </c>
      <c r="F284" s="24" t="str">
        <f aca="false">IF(E284&gt;=MUS_Parametros!$B$12,"SIM","NÃO")</f>
        <v>NÃO</v>
      </c>
      <c r="G284" s="18" t="n">
        <v>395409.84</v>
      </c>
      <c r="H284" s="21" t="n">
        <f aca="false">E284-G284</f>
        <v>0</v>
      </c>
      <c r="I284" s="25" t="n">
        <f aca="false">IF(F284="SIM","",H284/E284)</f>
        <v>0</v>
      </c>
    </row>
    <row r="285" customFormat="false" ht="15" hidden="false" customHeight="false" outlineLevel="0" collapsed="false">
      <c r="A285" s="7" t="s">
        <v>599</v>
      </c>
      <c r="B285" s="7" t="s">
        <v>198</v>
      </c>
      <c r="C285" s="7" t="s">
        <v>280</v>
      </c>
      <c r="D285" s="7" t="s">
        <v>273</v>
      </c>
      <c r="E285" s="18" t="n">
        <v>65046.29</v>
      </c>
      <c r="F285" s="24" t="str">
        <f aca="false">IF(E285&gt;=MUS_Parametros!$B$12,"SIM","NÃO")</f>
        <v>NÃO</v>
      </c>
      <c r="G285" s="18" t="n">
        <v>65046.29</v>
      </c>
      <c r="H285" s="21" t="n">
        <f aca="false">E285-G285</f>
        <v>0</v>
      </c>
      <c r="I285" s="25" t="n">
        <f aca="false">IF(F285="SIM","",H285/E285)</f>
        <v>0</v>
      </c>
    </row>
    <row r="286" customFormat="false" ht="15" hidden="false" customHeight="false" outlineLevel="0" collapsed="false">
      <c r="A286" s="7" t="s">
        <v>600</v>
      </c>
      <c r="B286" s="7" t="s">
        <v>200</v>
      </c>
      <c r="C286" s="7" t="s">
        <v>601</v>
      </c>
      <c r="D286" s="7" t="s">
        <v>273</v>
      </c>
      <c r="E286" s="18" t="n">
        <v>23502101.53</v>
      </c>
      <c r="F286" s="24" t="str">
        <f aca="false">IF(E286&gt;=MUS_Parametros!$B$12,"SIM","NÃO")</f>
        <v>NÃO</v>
      </c>
      <c r="G286" s="18" t="n">
        <v>23502101.53</v>
      </c>
      <c r="H286" s="21" t="n">
        <f aca="false">E286-G286</f>
        <v>0</v>
      </c>
      <c r="I286" s="25" t="n">
        <f aca="false">IF(F286="SIM","",H286/E286)</f>
        <v>0</v>
      </c>
    </row>
    <row r="287" customFormat="false" ht="15" hidden="false" customHeight="false" outlineLevel="0" collapsed="false">
      <c r="A287" s="7" t="s">
        <v>602</v>
      </c>
      <c r="B287" s="7" t="s">
        <v>198</v>
      </c>
      <c r="C287" s="7" t="s">
        <v>287</v>
      </c>
      <c r="D287" s="7" t="s">
        <v>273</v>
      </c>
      <c r="E287" s="18" t="n">
        <v>533541.56</v>
      </c>
      <c r="F287" s="24" t="str">
        <f aca="false">IF(E287&gt;=MUS_Parametros!$B$12,"SIM","NÃO")</f>
        <v>NÃO</v>
      </c>
      <c r="G287" s="18" t="n">
        <v>533541.56</v>
      </c>
      <c r="H287" s="21" t="n">
        <f aca="false">E287-G287</f>
        <v>0</v>
      </c>
      <c r="I287" s="25" t="n">
        <f aca="false">IF(F287="SIM","",H287/E287)</f>
        <v>0</v>
      </c>
    </row>
    <row r="288" customFormat="false" ht="15" hidden="false" customHeight="false" outlineLevel="0" collapsed="false">
      <c r="A288" s="7" t="s">
        <v>603</v>
      </c>
      <c r="B288" s="7" t="s">
        <v>198</v>
      </c>
      <c r="C288" s="7" t="s">
        <v>280</v>
      </c>
      <c r="D288" s="7" t="s">
        <v>273</v>
      </c>
      <c r="E288" s="18" t="n">
        <v>31419.73</v>
      </c>
      <c r="F288" s="24" t="str">
        <f aca="false">IF(E288&gt;=MUS_Parametros!$B$12,"SIM","NÃO")</f>
        <v>NÃO</v>
      </c>
      <c r="G288" s="18" t="n">
        <v>31419.73</v>
      </c>
      <c r="H288" s="21" t="n">
        <f aca="false">E288-G288</f>
        <v>0</v>
      </c>
      <c r="I288" s="25" t="n">
        <f aca="false">IF(F288="SIM","",H288/E288)</f>
        <v>0</v>
      </c>
    </row>
    <row r="289" customFormat="false" ht="15" hidden="false" customHeight="false" outlineLevel="0" collapsed="false">
      <c r="A289" s="7" t="s">
        <v>604</v>
      </c>
      <c r="B289" s="7" t="s">
        <v>200</v>
      </c>
      <c r="C289" s="7" t="s">
        <v>605</v>
      </c>
      <c r="D289" s="7" t="s">
        <v>273</v>
      </c>
      <c r="E289" s="18" t="n">
        <v>23714063.46</v>
      </c>
      <c r="F289" s="24" t="str">
        <f aca="false">IF(E289&gt;=MUS_Parametros!$B$12,"SIM","NÃO")</f>
        <v>NÃO</v>
      </c>
      <c r="G289" s="18" t="n">
        <v>23714063.46</v>
      </c>
      <c r="H289" s="21" t="n">
        <f aca="false">E289-G289</f>
        <v>0</v>
      </c>
      <c r="I289" s="25" t="n">
        <f aca="false">IF(F289="SIM","",H289/E289)</f>
        <v>0</v>
      </c>
    </row>
    <row r="290" customFormat="false" ht="15" hidden="false" customHeight="false" outlineLevel="0" collapsed="false">
      <c r="A290" s="7" t="s">
        <v>606</v>
      </c>
      <c r="B290" s="7" t="s">
        <v>202</v>
      </c>
      <c r="C290" s="7" t="s">
        <v>607</v>
      </c>
      <c r="D290" s="7" t="s">
        <v>273</v>
      </c>
      <c r="E290" s="18" t="n">
        <v>20130404.64</v>
      </c>
      <c r="F290" s="24" t="str">
        <f aca="false">IF(E290&gt;=MUS_Parametros!$B$12,"SIM","NÃO")</f>
        <v>NÃO</v>
      </c>
      <c r="G290" s="18" t="n">
        <v>20130404.64</v>
      </c>
      <c r="H290" s="21" t="n">
        <f aca="false">E290-G290</f>
        <v>0</v>
      </c>
      <c r="I290" s="25" t="n">
        <f aca="false">IF(F290="SIM","",H290/E290)</f>
        <v>0</v>
      </c>
    </row>
    <row r="291" customFormat="false" ht="15" hidden="false" customHeight="false" outlineLevel="0" collapsed="false">
      <c r="A291" s="7" t="s">
        <v>608</v>
      </c>
      <c r="B291" s="7" t="s">
        <v>198</v>
      </c>
      <c r="C291" s="7" t="s">
        <v>272</v>
      </c>
      <c r="D291" s="7" t="s">
        <v>273</v>
      </c>
      <c r="E291" s="18" t="n">
        <v>916855.42</v>
      </c>
      <c r="F291" s="24" t="str">
        <f aca="false">IF(E291&gt;=MUS_Parametros!$B$12,"SIM","NÃO")</f>
        <v>NÃO</v>
      </c>
      <c r="G291" s="18" t="n">
        <v>916855.42</v>
      </c>
      <c r="H291" s="21" t="n">
        <f aca="false">E291-G291</f>
        <v>0</v>
      </c>
      <c r="I291" s="25" t="n">
        <f aca="false">IF(F291="SIM","",H291/E291)</f>
        <v>0</v>
      </c>
    </row>
    <row r="292" customFormat="false" ht="15" hidden="false" customHeight="false" outlineLevel="0" collapsed="false">
      <c r="A292" s="7" t="s">
        <v>609</v>
      </c>
      <c r="B292" s="7" t="s">
        <v>198</v>
      </c>
      <c r="C292" s="7" t="s">
        <v>272</v>
      </c>
      <c r="D292" s="7" t="s">
        <v>273</v>
      </c>
      <c r="E292" s="18" t="n">
        <v>1231568</v>
      </c>
      <c r="F292" s="24" t="str">
        <f aca="false">IF(E292&gt;=MUS_Parametros!$B$12,"SIM","NÃO")</f>
        <v>NÃO</v>
      </c>
      <c r="G292" s="18" t="n">
        <v>1231568</v>
      </c>
      <c r="H292" s="21" t="n">
        <f aca="false">E292-G292</f>
        <v>0</v>
      </c>
      <c r="I292" s="25" t="n">
        <f aca="false">IF(F292="SIM","",H292/E292)</f>
        <v>0</v>
      </c>
    </row>
    <row r="293" customFormat="false" ht="15" hidden="false" customHeight="false" outlineLevel="0" collapsed="false">
      <c r="A293" s="7" t="s">
        <v>610</v>
      </c>
      <c r="B293" s="7" t="s">
        <v>198</v>
      </c>
      <c r="C293" s="7" t="s">
        <v>280</v>
      </c>
      <c r="D293" s="7" t="s">
        <v>273</v>
      </c>
      <c r="E293" s="18" t="n">
        <v>64858.75</v>
      </c>
      <c r="F293" s="24" t="str">
        <f aca="false">IF(E293&gt;=MUS_Parametros!$B$12,"SIM","NÃO")</f>
        <v>NÃO</v>
      </c>
      <c r="G293" s="18" t="n">
        <v>64858.75</v>
      </c>
      <c r="H293" s="21" t="n">
        <f aca="false">E293-G293</f>
        <v>0</v>
      </c>
      <c r="I293" s="25" t="n">
        <f aca="false">IF(F293="SIM","",H293/E293)</f>
        <v>0</v>
      </c>
    </row>
    <row r="294" customFormat="false" ht="15" hidden="false" customHeight="false" outlineLevel="0" collapsed="false">
      <c r="A294" s="7" t="s">
        <v>611</v>
      </c>
      <c r="B294" s="7" t="s">
        <v>198</v>
      </c>
      <c r="C294" s="7" t="s">
        <v>287</v>
      </c>
      <c r="D294" s="7" t="s">
        <v>273</v>
      </c>
      <c r="E294" s="18" t="n">
        <v>1393223.71</v>
      </c>
      <c r="F294" s="24" t="str">
        <f aca="false">IF(E294&gt;=MUS_Parametros!$B$12,"SIM","NÃO")</f>
        <v>NÃO</v>
      </c>
      <c r="G294" s="18" t="n">
        <v>1393223.71</v>
      </c>
      <c r="H294" s="21" t="n">
        <f aca="false">E294-G294</f>
        <v>0</v>
      </c>
      <c r="I294" s="25" t="n">
        <f aca="false">IF(F294="SIM","",H294/E294)</f>
        <v>0</v>
      </c>
    </row>
    <row r="295" customFormat="false" ht="15" hidden="false" customHeight="false" outlineLevel="0" collapsed="false">
      <c r="A295" s="7" t="s">
        <v>612</v>
      </c>
      <c r="B295" s="7" t="s">
        <v>198</v>
      </c>
      <c r="C295" s="7" t="s">
        <v>287</v>
      </c>
      <c r="D295" s="7" t="s">
        <v>273</v>
      </c>
      <c r="E295" s="18" t="n">
        <v>1029738.68</v>
      </c>
      <c r="F295" s="24" t="str">
        <f aca="false">IF(E295&gt;=MUS_Parametros!$B$12,"SIM","NÃO")</f>
        <v>NÃO</v>
      </c>
      <c r="G295" s="18" t="n">
        <v>1029738.68</v>
      </c>
      <c r="H295" s="21" t="n">
        <f aca="false">E295-G295</f>
        <v>0</v>
      </c>
      <c r="I295" s="25" t="n">
        <f aca="false">IF(F295="SIM","",H295/E295)</f>
        <v>0</v>
      </c>
    </row>
    <row r="296" customFormat="false" ht="15" hidden="false" customHeight="false" outlineLevel="0" collapsed="false">
      <c r="A296" s="7" t="s">
        <v>613</v>
      </c>
      <c r="B296" s="7" t="s">
        <v>210</v>
      </c>
      <c r="C296" s="7" t="s">
        <v>614</v>
      </c>
      <c r="D296" s="7" t="s">
        <v>273</v>
      </c>
      <c r="E296" s="18" t="n">
        <v>50368607.13</v>
      </c>
      <c r="F296" s="24" t="str">
        <f aca="false">IF(E296&gt;=MUS_Parametros!$B$12,"SIM","NÃO")</f>
        <v>SIM</v>
      </c>
      <c r="G296" s="18" t="n">
        <v>50368607.13</v>
      </c>
      <c r="H296" s="21" t="n">
        <f aca="false">E296-G296</f>
        <v>0</v>
      </c>
      <c r="I296" s="25" t="str">
        <f aca="false">IF(F296="SIM","",H296/E296)</f>
        <v/>
      </c>
    </row>
    <row r="297" customFormat="false" ht="15" hidden="false" customHeight="false" outlineLevel="0" collapsed="false">
      <c r="A297" s="7" t="s">
        <v>615</v>
      </c>
      <c r="B297" s="7" t="s">
        <v>198</v>
      </c>
      <c r="C297" s="7" t="s">
        <v>287</v>
      </c>
      <c r="D297" s="7" t="s">
        <v>273</v>
      </c>
      <c r="E297" s="18" t="n">
        <v>765817.91</v>
      </c>
      <c r="F297" s="24" t="str">
        <f aca="false">IF(E297&gt;=MUS_Parametros!$B$12,"SIM","NÃO")</f>
        <v>NÃO</v>
      </c>
      <c r="G297" s="18" t="n">
        <v>765817.91</v>
      </c>
      <c r="H297" s="21" t="n">
        <f aca="false">E297-G297</f>
        <v>0</v>
      </c>
      <c r="I297" s="25" t="n">
        <f aca="false">IF(F297="SIM","",H297/E297)</f>
        <v>0</v>
      </c>
    </row>
    <row r="298" customFormat="false" ht="15" hidden="false" customHeight="false" outlineLevel="0" collapsed="false">
      <c r="A298" s="7" t="s">
        <v>616</v>
      </c>
      <c r="B298" s="7" t="s">
        <v>198</v>
      </c>
      <c r="C298" s="7" t="s">
        <v>272</v>
      </c>
      <c r="D298" s="7" t="s">
        <v>273</v>
      </c>
      <c r="E298" s="18" t="n">
        <v>13216095.06</v>
      </c>
      <c r="F298" s="24" t="str">
        <f aca="false">IF(E298&gt;=MUS_Parametros!$B$12,"SIM","NÃO")</f>
        <v>NÃO</v>
      </c>
      <c r="G298" s="18" t="n">
        <v>13216095.06</v>
      </c>
      <c r="H298" s="21" t="n">
        <f aca="false">E298-G298</f>
        <v>0</v>
      </c>
      <c r="I298" s="25" t="n">
        <f aca="false">IF(F298="SIM","",H298/E298)</f>
        <v>0</v>
      </c>
    </row>
    <row r="299" customFormat="false" ht="15" hidden="false" customHeight="false" outlineLevel="0" collapsed="false">
      <c r="A299" s="7" t="s">
        <v>617</v>
      </c>
      <c r="B299" s="7" t="s">
        <v>198</v>
      </c>
      <c r="C299" s="7" t="s">
        <v>287</v>
      </c>
      <c r="D299" s="7" t="s">
        <v>273</v>
      </c>
      <c r="E299" s="18" t="n">
        <v>565160.6</v>
      </c>
      <c r="F299" s="24" t="str">
        <f aca="false">IF(E299&gt;=MUS_Parametros!$B$12,"SIM","NÃO")</f>
        <v>NÃO</v>
      </c>
      <c r="G299" s="18" t="n">
        <v>565160.6</v>
      </c>
      <c r="H299" s="21" t="n">
        <f aca="false">E299-G299</f>
        <v>0</v>
      </c>
      <c r="I299" s="25" t="n">
        <f aca="false">IF(F299="SIM","",H299/E299)</f>
        <v>0</v>
      </c>
    </row>
    <row r="300" customFormat="false" ht="15" hidden="false" customHeight="false" outlineLevel="0" collapsed="false">
      <c r="A300" s="7" t="s">
        <v>618</v>
      </c>
      <c r="B300" s="7" t="s">
        <v>198</v>
      </c>
      <c r="C300" s="7" t="s">
        <v>280</v>
      </c>
      <c r="D300" s="7" t="s">
        <v>273</v>
      </c>
      <c r="E300" s="18" t="n">
        <v>36781.13</v>
      </c>
      <c r="F300" s="24" t="str">
        <f aca="false">IF(E300&gt;=MUS_Parametros!$B$12,"SIM","NÃO")</f>
        <v>NÃO</v>
      </c>
      <c r="G300" s="18" t="n">
        <v>36781.13</v>
      </c>
      <c r="H300" s="21" t="n">
        <f aca="false">E300-G300</f>
        <v>0</v>
      </c>
      <c r="I300" s="25" t="n">
        <f aca="false">IF(F300="SIM","",H300/E300)</f>
        <v>0</v>
      </c>
    </row>
    <row r="301" customFormat="false" ht="15" hidden="false" customHeight="false" outlineLevel="0" collapsed="false">
      <c r="A301" s="7" t="s">
        <v>619</v>
      </c>
      <c r="B301" s="7" t="s">
        <v>198</v>
      </c>
      <c r="C301" s="7" t="s">
        <v>287</v>
      </c>
      <c r="D301" s="7" t="s">
        <v>273</v>
      </c>
      <c r="E301" s="18" t="n">
        <v>1026991.1</v>
      </c>
      <c r="F301" s="24" t="str">
        <f aca="false">IF(E301&gt;=MUS_Parametros!$B$12,"SIM","NÃO")</f>
        <v>NÃO</v>
      </c>
      <c r="G301" s="18" t="n">
        <v>1026991.1</v>
      </c>
      <c r="H301" s="21" t="n">
        <f aca="false">E301-G301</f>
        <v>0</v>
      </c>
      <c r="I301" s="25" t="n">
        <f aca="false">IF(F301="SIM","",H301/E301)</f>
        <v>0</v>
      </c>
    </row>
    <row r="302" customFormat="false" ht="15" hidden="false" customHeight="false" outlineLevel="0" collapsed="false">
      <c r="A302" s="7" t="s">
        <v>620</v>
      </c>
      <c r="B302" s="7" t="s">
        <v>198</v>
      </c>
      <c r="C302" s="7" t="s">
        <v>272</v>
      </c>
      <c r="D302" s="7" t="s">
        <v>273</v>
      </c>
      <c r="E302" s="18" t="n">
        <v>842729.83</v>
      </c>
      <c r="F302" s="24" t="str">
        <f aca="false">IF(E302&gt;=MUS_Parametros!$B$12,"SIM","NÃO")</f>
        <v>NÃO</v>
      </c>
      <c r="G302" s="18" t="n">
        <v>842729.83</v>
      </c>
      <c r="H302" s="21" t="n">
        <f aca="false">E302-G302</f>
        <v>0</v>
      </c>
      <c r="I302" s="25" t="n">
        <f aca="false">IF(F302="SIM","",H302/E302)</f>
        <v>0</v>
      </c>
    </row>
    <row r="303" customFormat="false" ht="15" hidden="false" customHeight="false" outlineLevel="0" collapsed="false">
      <c r="A303" s="7" t="s">
        <v>621</v>
      </c>
      <c r="B303" s="7" t="s">
        <v>198</v>
      </c>
      <c r="C303" s="7" t="s">
        <v>283</v>
      </c>
      <c r="D303" s="7" t="s">
        <v>273</v>
      </c>
      <c r="E303" s="18" t="n">
        <v>203593.91</v>
      </c>
      <c r="F303" s="24" t="str">
        <f aca="false">IF(E303&gt;=MUS_Parametros!$B$12,"SIM","NÃO")</f>
        <v>NÃO</v>
      </c>
      <c r="G303" s="18" t="n">
        <v>203593.91</v>
      </c>
      <c r="H303" s="21" t="n">
        <f aca="false">E303-G303</f>
        <v>0</v>
      </c>
      <c r="I303" s="25" t="n">
        <f aca="false">IF(F303="SIM","",H303/E303)</f>
        <v>0</v>
      </c>
    </row>
    <row r="304" customFormat="false" ht="15" hidden="false" customHeight="false" outlineLevel="0" collapsed="false">
      <c r="A304" s="7" t="s">
        <v>622</v>
      </c>
      <c r="B304" s="7" t="s">
        <v>198</v>
      </c>
      <c r="C304" s="7" t="s">
        <v>287</v>
      </c>
      <c r="D304" s="7" t="s">
        <v>273</v>
      </c>
      <c r="E304" s="18" t="n">
        <v>335036.07</v>
      </c>
      <c r="F304" s="24" t="str">
        <f aca="false">IF(E304&gt;=MUS_Parametros!$B$12,"SIM","NÃO")</f>
        <v>NÃO</v>
      </c>
      <c r="G304" s="18" t="n">
        <v>335036.07</v>
      </c>
      <c r="H304" s="21" t="n">
        <f aca="false">E304-G304</f>
        <v>0</v>
      </c>
      <c r="I304" s="25" t="n">
        <f aca="false">IF(F304="SIM","",H304/E304)</f>
        <v>0</v>
      </c>
    </row>
    <row r="305" customFormat="false" ht="15" hidden="false" customHeight="false" outlineLevel="0" collapsed="false">
      <c r="A305" s="7" t="s">
        <v>623</v>
      </c>
      <c r="B305" s="7" t="s">
        <v>198</v>
      </c>
      <c r="C305" s="7" t="s">
        <v>272</v>
      </c>
      <c r="D305" s="7" t="s">
        <v>273</v>
      </c>
      <c r="E305" s="18" t="n">
        <v>1303465.42</v>
      </c>
      <c r="F305" s="24" t="str">
        <f aca="false">IF(E305&gt;=MUS_Parametros!$B$12,"SIM","NÃO")</f>
        <v>NÃO</v>
      </c>
      <c r="G305" s="18" t="n">
        <v>1303465.42</v>
      </c>
      <c r="H305" s="21" t="n">
        <f aca="false">E305-G305</f>
        <v>0</v>
      </c>
      <c r="I305" s="25" t="n">
        <f aca="false">IF(F305="SIM","",H305/E305)</f>
        <v>0</v>
      </c>
    </row>
    <row r="306" customFormat="false" ht="15" hidden="false" customHeight="false" outlineLevel="0" collapsed="false">
      <c r="A306" s="7" t="s">
        <v>624</v>
      </c>
      <c r="B306" s="7" t="s">
        <v>198</v>
      </c>
      <c r="C306" s="7" t="s">
        <v>272</v>
      </c>
      <c r="D306" s="7" t="s">
        <v>273</v>
      </c>
      <c r="E306" s="18" t="n">
        <v>1107376.43</v>
      </c>
      <c r="F306" s="24" t="str">
        <f aca="false">IF(E306&gt;=MUS_Parametros!$B$12,"SIM","NÃO")</f>
        <v>NÃO</v>
      </c>
      <c r="G306" s="18" t="n">
        <v>1107376.43</v>
      </c>
      <c r="H306" s="21" t="n">
        <f aca="false">E306-G306</f>
        <v>0</v>
      </c>
      <c r="I306" s="25" t="n">
        <f aca="false">IF(F306="SIM","",H306/E306)</f>
        <v>0</v>
      </c>
    </row>
    <row r="307" customFormat="false" ht="15" hidden="false" customHeight="false" outlineLevel="0" collapsed="false">
      <c r="A307" s="7" t="s">
        <v>625</v>
      </c>
      <c r="B307" s="7" t="s">
        <v>198</v>
      </c>
      <c r="C307" s="7" t="s">
        <v>287</v>
      </c>
      <c r="D307" s="7" t="s">
        <v>273</v>
      </c>
      <c r="E307" s="18" t="n">
        <v>2687366.01</v>
      </c>
      <c r="F307" s="24" t="str">
        <f aca="false">IF(E307&gt;=MUS_Parametros!$B$12,"SIM","NÃO")</f>
        <v>NÃO</v>
      </c>
      <c r="G307" s="18" t="n">
        <v>2687366.01</v>
      </c>
      <c r="H307" s="21" t="n">
        <f aca="false">E307-G307</f>
        <v>0</v>
      </c>
      <c r="I307" s="25" t="n">
        <f aca="false">IF(F307="SIM","",H307/E307)</f>
        <v>0</v>
      </c>
    </row>
    <row r="308" customFormat="false" ht="15" hidden="false" customHeight="false" outlineLevel="0" collapsed="false">
      <c r="A308" s="7" t="s">
        <v>626</v>
      </c>
      <c r="B308" s="7" t="s">
        <v>198</v>
      </c>
      <c r="C308" s="7" t="s">
        <v>272</v>
      </c>
      <c r="D308" s="7" t="s">
        <v>273</v>
      </c>
      <c r="E308" s="18" t="n">
        <v>5636681.6</v>
      </c>
      <c r="F308" s="24" t="str">
        <f aca="false">IF(E308&gt;=MUS_Parametros!$B$12,"SIM","NÃO")</f>
        <v>NÃO</v>
      </c>
      <c r="G308" s="18" t="n">
        <v>5636681.6</v>
      </c>
      <c r="H308" s="21" t="n">
        <f aca="false">E308-G308</f>
        <v>0</v>
      </c>
      <c r="I308" s="25" t="n">
        <f aca="false">IF(F308="SIM","",H308/E308)</f>
        <v>0</v>
      </c>
    </row>
    <row r="309" customFormat="false" ht="15" hidden="false" customHeight="false" outlineLevel="0" collapsed="false">
      <c r="A309" s="7" t="s">
        <v>627</v>
      </c>
      <c r="B309" s="7" t="s">
        <v>200</v>
      </c>
      <c r="C309" s="7" t="s">
        <v>628</v>
      </c>
      <c r="D309" s="7" t="s">
        <v>273</v>
      </c>
      <c r="E309" s="18" t="n">
        <v>37895342.8</v>
      </c>
      <c r="F309" s="24" t="str">
        <f aca="false">IF(E309&gt;=MUS_Parametros!$B$12,"SIM","NÃO")</f>
        <v>SIM</v>
      </c>
      <c r="G309" s="18" t="n">
        <v>37895342.8</v>
      </c>
      <c r="H309" s="21" t="n">
        <f aca="false">E309-G309</f>
        <v>0</v>
      </c>
      <c r="I309" s="25" t="str">
        <f aca="false">IF(F309="SIM","",H309/E309)</f>
        <v/>
      </c>
    </row>
    <row r="310" customFormat="false" ht="15" hidden="false" customHeight="false" outlineLevel="0" collapsed="false">
      <c r="A310" s="7" t="s">
        <v>629</v>
      </c>
      <c r="B310" s="7" t="s">
        <v>198</v>
      </c>
      <c r="C310" s="7" t="s">
        <v>283</v>
      </c>
      <c r="D310" s="7" t="s">
        <v>273</v>
      </c>
      <c r="E310" s="18" t="n">
        <v>25674.68</v>
      </c>
      <c r="F310" s="24" t="str">
        <f aca="false">IF(E310&gt;=MUS_Parametros!$B$12,"SIM","NÃO")</f>
        <v>NÃO</v>
      </c>
      <c r="G310" s="18" t="n">
        <v>25674.68</v>
      </c>
      <c r="H310" s="21" t="n">
        <f aca="false">E310-G310</f>
        <v>0</v>
      </c>
      <c r="I310" s="25" t="n">
        <f aca="false">IF(F310="SIM","",H310/E310)</f>
        <v>0</v>
      </c>
    </row>
    <row r="311" customFormat="false" ht="15" hidden="false" customHeight="false" outlineLevel="0" collapsed="false">
      <c r="A311" s="7" t="s">
        <v>630</v>
      </c>
      <c r="B311" s="7" t="s">
        <v>198</v>
      </c>
      <c r="C311" s="7" t="s">
        <v>287</v>
      </c>
      <c r="D311" s="7" t="s">
        <v>273</v>
      </c>
      <c r="E311" s="18" t="n">
        <v>102019.43</v>
      </c>
      <c r="F311" s="24" t="str">
        <f aca="false">IF(E311&gt;=MUS_Parametros!$B$12,"SIM","NÃO")</f>
        <v>NÃO</v>
      </c>
      <c r="G311" s="18" t="n">
        <v>102019.43</v>
      </c>
      <c r="H311" s="21" t="n">
        <f aca="false">E311-G311</f>
        <v>0</v>
      </c>
      <c r="I311" s="25" t="n">
        <f aca="false">IF(F311="SIM","",H311/E311)</f>
        <v>0</v>
      </c>
    </row>
    <row r="312" customFormat="false" ht="15" hidden="false" customHeight="false" outlineLevel="0" collapsed="false">
      <c r="A312" s="7" t="s">
        <v>631</v>
      </c>
      <c r="B312" s="7" t="s">
        <v>198</v>
      </c>
      <c r="C312" s="7" t="s">
        <v>283</v>
      </c>
      <c r="D312" s="7" t="s">
        <v>273</v>
      </c>
      <c r="E312" s="18" t="n">
        <v>212160.63</v>
      </c>
      <c r="F312" s="24" t="str">
        <f aca="false">IF(E312&gt;=MUS_Parametros!$B$12,"SIM","NÃO")</f>
        <v>NÃO</v>
      </c>
      <c r="G312" s="18" t="n">
        <v>212160.63</v>
      </c>
      <c r="H312" s="21" t="n">
        <f aca="false">E312-G312</f>
        <v>0</v>
      </c>
      <c r="I312" s="25" t="n">
        <f aca="false">IF(F312="SIM","",H312/E312)</f>
        <v>0</v>
      </c>
    </row>
    <row r="313" customFormat="false" ht="15" hidden="false" customHeight="false" outlineLevel="0" collapsed="false">
      <c r="A313" s="7" t="s">
        <v>632</v>
      </c>
      <c r="B313" s="7" t="s">
        <v>198</v>
      </c>
      <c r="C313" s="7" t="s">
        <v>287</v>
      </c>
      <c r="D313" s="7" t="s">
        <v>273</v>
      </c>
      <c r="E313" s="18" t="n">
        <v>670962.73</v>
      </c>
      <c r="F313" s="24" t="str">
        <f aca="false">IF(E313&gt;=MUS_Parametros!$B$12,"SIM","NÃO")</f>
        <v>NÃO</v>
      </c>
      <c r="G313" s="18" t="n">
        <v>670962.73</v>
      </c>
      <c r="H313" s="21" t="n">
        <f aca="false">E313-G313</f>
        <v>0</v>
      </c>
      <c r="I313" s="25" t="n">
        <f aca="false">IF(F313="SIM","",H313/E313)</f>
        <v>0</v>
      </c>
    </row>
    <row r="314" customFormat="false" ht="15" hidden="false" customHeight="false" outlineLevel="0" collapsed="false">
      <c r="A314" s="7" t="s">
        <v>633</v>
      </c>
      <c r="B314" s="7" t="s">
        <v>198</v>
      </c>
      <c r="C314" s="7" t="s">
        <v>272</v>
      </c>
      <c r="D314" s="7" t="s">
        <v>273</v>
      </c>
      <c r="E314" s="18" t="n">
        <v>6554964.05</v>
      </c>
      <c r="F314" s="24" t="str">
        <f aca="false">IF(E314&gt;=MUS_Parametros!$B$12,"SIM","NÃO")</f>
        <v>NÃO</v>
      </c>
      <c r="G314" s="18" t="n">
        <v>6554964.05</v>
      </c>
      <c r="H314" s="21" t="n">
        <f aca="false">E314-G314</f>
        <v>0</v>
      </c>
      <c r="I314" s="25" t="n">
        <f aca="false">IF(F314="SIM","",H314/E314)</f>
        <v>0</v>
      </c>
    </row>
    <row r="315" customFormat="false" ht="15" hidden="false" customHeight="false" outlineLevel="0" collapsed="false">
      <c r="A315" s="7" t="s">
        <v>634</v>
      </c>
      <c r="B315" s="7" t="s">
        <v>198</v>
      </c>
      <c r="C315" s="7" t="s">
        <v>272</v>
      </c>
      <c r="D315" s="7" t="s">
        <v>273</v>
      </c>
      <c r="E315" s="18" t="n">
        <v>1021259.9</v>
      </c>
      <c r="F315" s="24" t="str">
        <f aca="false">IF(E315&gt;=MUS_Parametros!$B$12,"SIM","NÃO")</f>
        <v>NÃO</v>
      </c>
      <c r="G315" s="18" t="n">
        <v>1021259.9</v>
      </c>
      <c r="H315" s="21" t="n">
        <f aca="false">E315-G315</f>
        <v>0</v>
      </c>
      <c r="I315" s="25" t="n">
        <f aca="false">IF(F315="SIM","",H315/E315)</f>
        <v>0</v>
      </c>
    </row>
    <row r="316" customFormat="false" ht="15" hidden="false" customHeight="false" outlineLevel="0" collapsed="false">
      <c r="A316" s="7" t="s">
        <v>635</v>
      </c>
      <c r="B316" s="7" t="s">
        <v>198</v>
      </c>
      <c r="C316" s="7" t="s">
        <v>272</v>
      </c>
      <c r="D316" s="7" t="s">
        <v>273</v>
      </c>
      <c r="E316" s="18" t="n">
        <v>1739158.98</v>
      </c>
      <c r="F316" s="24" t="str">
        <f aca="false">IF(E316&gt;=MUS_Parametros!$B$12,"SIM","NÃO")</f>
        <v>NÃO</v>
      </c>
      <c r="G316" s="18" t="n">
        <v>1739158.98</v>
      </c>
      <c r="H316" s="21" t="n">
        <f aca="false">E316-G316</f>
        <v>0</v>
      </c>
      <c r="I316" s="25" t="n">
        <f aca="false">IF(F316="SIM","",H316/E316)</f>
        <v>0</v>
      </c>
    </row>
    <row r="317" customFormat="false" ht="15" hidden="false" customHeight="false" outlineLevel="0" collapsed="false">
      <c r="A317" s="7" t="s">
        <v>636</v>
      </c>
      <c r="B317" s="7" t="s">
        <v>198</v>
      </c>
      <c r="C317" s="7" t="s">
        <v>280</v>
      </c>
      <c r="D317" s="7" t="s">
        <v>273</v>
      </c>
      <c r="E317" s="18" t="n">
        <v>94715.45</v>
      </c>
      <c r="F317" s="24" t="str">
        <f aca="false">IF(E317&gt;=MUS_Parametros!$B$12,"SIM","NÃO")</f>
        <v>NÃO</v>
      </c>
      <c r="G317" s="18" t="n">
        <v>94715.45</v>
      </c>
      <c r="H317" s="21" t="n">
        <f aca="false">E317-G317</f>
        <v>0</v>
      </c>
      <c r="I317" s="25" t="n">
        <f aca="false">IF(F317="SIM","",H317/E317)</f>
        <v>0</v>
      </c>
    </row>
    <row r="318" customFormat="false" ht="15" hidden="false" customHeight="false" outlineLevel="0" collapsed="false">
      <c r="A318" s="7" t="s">
        <v>637</v>
      </c>
      <c r="B318" s="7" t="s">
        <v>198</v>
      </c>
      <c r="C318" s="7" t="s">
        <v>272</v>
      </c>
      <c r="D318" s="7" t="s">
        <v>273</v>
      </c>
      <c r="E318" s="18" t="n">
        <v>2552496.82</v>
      </c>
      <c r="F318" s="24" t="str">
        <f aca="false">IF(E318&gt;=MUS_Parametros!$B$12,"SIM","NÃO")</f>
        <v>NÃO</v>
      </c>
      <c r="G318" s="18" t="n">
        <v>2552496.82</v>
      </c>
      <c r="H318" s="21" t="n">
        <f aca="false">E318-G318</f>
        <v>0</v>
      </c>
      <c r="I318" s="25" t="n">
        <f aca="false">IF(F318="SIM","",H318/E318)</f>
        <v>0</v>
      </c>
    </row>
    <row r="319" customFormat="false" ht="15" hidden="false" customHeight="false" outlineLevel="0" collapsed="false">
      <c r="A319" s="7" t="s">
        <v>638</v>
      </c>
      <c r="B319" s="7" t="s">
        <v>200</v>
      </c>
      <c r="C319" s="7" t="s">
        <v>639</v>
      </c>
      <c r="D319" s="7" t="s">
        <v>273</v>
      </c>
      <c r="E319" s="18" t="n">
        <v>28635450.44</v>
      </c>
      <c r="F319" s="24" t="str">
        <f aca="false">IF(E319&gt;=MUS_Parametros!$B$12,"SIM","NÃO")</f>
        <v>NÃO</v>
      </c>
      <c r="G319" s="18" t="n">
        <v>28635450.44</v>
      </c>
      <c r="H319" s="21" t="n">
        <f aca="false">E319-G319</f>
        <v>0</v>
      </c>
      <c r="I319" s="25" t="n">
        <f aca="false">IF(F319="SIM","",H319/E319)</f>
        <v>0</v>
      </c>
    </row>
    <row r="320" customFormat="false" ht="15" hidden="false" customHeight="false" outlineLevel="0" collapsed="false">
      <c r="A320" s="7" t="s">
        <v>640</v>
      </c>
      <c r="B320" s="7" t="s">
        <v>198</v>
      </c>
      <c r="C320" s="7" t="s">
        <v>287</v>
      </c>
      <c r="D320" s="7" t="s">
        <v>273</v>
      </c>
      <c r="E320" s="18" t="n">
        <v>1259327.55</v>
      </c>
      <c r="F320" s="24" t="str">
        <f aca="false">IF(E320&gt;=MUS_Parametros!$B$12,"SIM","NÃO")</f>
        <v>NÃO</v>
      </c>
      <c r="G320" s="18" t="n">
        <v>1259327.55</v>
      </c>
      <c r="H320" s="21" t="n">
        <f aca="false">E320-G320</f>
        <v>0</v>
      </c>
      <c r="I320" s="25" t="n">
        <f aca="false">IF(F320="SIM","",H320/E320)</f>
        <v>0</v>
      </c>
    </row>
    <row r="321" customFormat="false" ht="15" hidden="false" customHeight="false" outlineLevel="0" collapsed="false">
      <c r="A321" s="7" t="s">
        <v>641</v>
      </c>
      <c r="B321" s="7" t="s">
        <v>198</v>
      </c>
      <c r="C321" s="7" t="s">
        <v>272</v>
      </c>
      <c r="D321" s="7" t="s">
        <v>273</v>
      </c>
      <c r="E321" s="18" t="n">
        <v>2988751.54</v>
      </c>
      <c r="F321" s="24" t="str">
        <f aca="false">IF(E321&gt;=MUS_Parametros!$B$12,"SIM","NÃO")</f>
        <v>NÃO</v>
      </c>
      <c r="G321" s="18" t="n">
        <v>2988751.54</v>
      </c>
      <c r="H321" s="21" t="n">
        <f aca="false">E321-G321</f>
        <v>0</v>
      </c>
      <c r="I321" s="25" t="n">
        <f aca="false">IF(F321="SIM","",H321/E321)</f>
        <v>0</v>
      </c>
    </row>
    <row r="322" customFormat="false" ht="15" hidden="false" customHeight="false" outlineLevel="0" collapsed="false">
      <c r="A322" s="7" t="s">
        <v>642</v>
      </c>
      <c r="B322" s="7" t="s">
        <v>198</v>
      </c>
      <c r="C322" s="7" t="s">
        <v>287</v>
      </c>
      <c r="D322" s="7" t="s">
        <v>273</v>
      </c>
      <c r="E322" s="18" t="n">
        <v>1666696.06</v>
      </c>
      <c r="F322" s="24" t="str">
        <f aca="false">IF(E322&gt;=MUS_Parametros!$B$12,"SIM","NÃO")</f>
        <v>NÃO</v>
      </c>
      <c r="G322" s="18" t="n">
        <v>1666696.06</v>
      </c>
      <c r="H322" s="21" t="n">
        <f aca="false">E322-G322</f>
        <v>0</v>
      </c>
      <c r="I322" s="25" t="n">
        <f aca="false">IF(F322="SIM","",H322/E322)</f>
        <v>0</v>
      </c>
    </row>
    <row r="323" customFormat="false" ht="15" hidden="false" customHeight="false" outlineLevel="0" collapsed="false">
      <c r="A323" s="7" t="s">
        <v>643</v>
      </c>
      <c r="B323" s="7" t="s">
        <v>198</v>
      </c>
      <c r="C323" s="7" t="s">
        <v>272</v>
      </c>
      <c r="D323" s="7" t="s">
        <v>273</v>
      </c>
      <c r="E323" s="18" t="n">
        <v>1463739.73</v>
      </c>
      <c r="F323" s="24" t="str">
        <f aca="false">IF(E323&gt;=MUS_Parametros!$B$12,"SIM","NÃO")</f>
        <v>NÃO</v>
      </c>
      <c r="G323" s="18" t="n">
        <v>1463739.73</v>
      </c>
      <c r="H323" s="21" t="n">
        <f aca="false">E323-G323</f>
        <v>0</v>
      </c>
      <c r="I323" s="25" t="n">
        <f aca="false">IF(F323="SIM","",H323/E323)</f>
        <v>0</v>
      </c>
    </row>
    <row r="324" customFormat="false" ht="15" hidden="false" customHeight="false" outlineLevel="0" collapsed="false">
      <c r="A324" s="7" t="s">
        <v>644</v>
      </c>
      <c r="B324" s="7" t="s">
        <v>198</v>
      </c>
      <c r="C324" s="7" t="s">
        <v>283</v>
      </c>
      <c r="D324" s="7" t="s">
        <v>273</v>
      </c>
      <c r="E324" s="18" t="n">
        <v>1996432.06</v>
      </c>
      <c r="F324" s="24" t="str">
        <f aca="false">IF(E324&gt;=MUS_Parametros!$B$12,"SIM","NÃO")</f>
        <v>NÃO</v>
      </c>
      <c r="G324" s="18" t="n">
        <v>1996432.06</v>
      </c>
      <c r="H324" s="21" t="n">
        <f aca="false">E324-G324</f>
        <v>0</v>
      </c>
      <c r="I324" s="25" t="n">
        <f aca="false">IF(F324="SIM","",H324/E324)</f>
        <v>0</v>
      </c>
    </row>
    <row r="325" customFormat="false" ht="15" hidden="false" customHeight="false" outlineLevel="0" collapsed="false">
      <c r="A325" s="7" t="s">
        <v>645</v>
      </c>
      <c r="B325" s="7" t="s">
        <v>200</v>
      </c>
      <c r="C325" s="7" t="s">
        <v>646</v>
      </c>
      <c r="D325" s="7" t="s">
        <v>273</v>
      </c>
      <c r="E325" s="18" t="n">
        <v>49600979.93</v>
      </c>
      <c r="F325" s="24" t="str">
        <f aca="false">IF(E325&gt;=MUS_Parametros!$B$12,"SIM","NÃO")</f>
        <v>SIM</v>
      </c>
      <c r="G325" s="18" t="n">
        <v>49600979.93</v>
      </c>
      <c r="H325" s="21" t="n">
        <f aca="false">E325-G325</f>
        <v>0</v>
      </c>
      <c r="I325" s="25" t="str">
        <f aca="false">IF(F325="SIM","",H325/E325)</f>
        <v/>
      </c>
    </row>
    <row r="326" customFormat="false" ht="15" hidden="false" customHeight="false" outlineLevel="0" collapsed="false">
      <c r="A326" s="7" t="s">
        <v>647</v>
      </c>
      <c r="B326" s="7" t="s">
        <v>198</v>
      </c>
      <c r="C326" s="7" t="s">
        <v>287</v>
      </c>
      <c r="D326" s="7" t="s">
        <v>273</v>
      </c>
      <c r="E326" s="18" t="n">
        <v>3259190.39</v>
      </c>
      <c r="F326" s="24" t="str">
        <f aca="false">IF(E326&gt;=MUS_Parametros!$B$12,"SIM","NÃO")</f>
        <v>NÃO</v>
      </c>
      <c r="G326" s="18" t="n">
        <v>3259190.39</v>
      </c>
      <c r="H326" s="21" t="n">
        <f aca="false">E326-G326</f>
        <v>0</v>
      </c>
      <c r="I326" s="25" t="n">
        <f aca="false">IF(F326="SIM","",H326/E326)</f>
        <v>0</v>
      </c>
    </row>
    <row r="327" customFormat="false" ht="15" hidden="false" customHeight="false" outlineLevel="0" collapsed="false">
      <c r="A327" s="7" t="s">
        <v>648</v>
      </c>
      <c r="B327" s="7" t="s">
        <v>202</v>
      </c>
      <c r="C327" s="7" t="s">
        <v>649</v>
      </c>
      <c r="D327" s="7" t="s">
        <v>273</v>
      </c>
      <c r="E327" s="18" t="n">
        <v>29015037.75</v>
      </c>
      <c r="F327" s="24" t="str">
        <f aca="false">IF(E327&gt;=MUS_Parametros!$B$12,"SIM","NÃO")</f>
        <v>NÃO</v>
      </c>
      <c r="G327" s="18" t="n">
        <v>29015037.75</v>
      </c>
      <c r="H327" s="21" t="n">
        <f aca="false">E327-G327</f>
        <v>0</v>
      </c>
      <c r="I327" s="25" t="n">
        <f aca="false">IF(F327="SIM","",H327/E327)</f>
        <v>0</v>
      </c>
    </row>
    <row r="328" customFormat="false" ht="15" hidden="false" customHeight="false" outlineLevel="0" collapsed="false">
      <c r="A328" s="7" t="s">
        <v>650</v>
      </c>
      <c r="B328" s="7" t="s">
        <v>198</v>
      </c>
      <c r="C328" s="7" t="s">
        <v>272</v>
      </c>
      <c r="D328" s="7" t="s">
        <v>273</v>
      </c>
      <c r="E328" s="18" t="n">
        <v>4453298.27</v>
      </c>
      <c r="F328" s="24" t="str">
        <f aca="false">IF(E328&gt;=MUS_Parametros!$B$12,"SIM","NÃO")</f>
        <v>NÃO</v>
      </c>
      <c r="G328" s="18" t="n">
        <v>4453298.27</v>
      </c>
      <c r="H328" s="21" t="n">
        <f aca="false">E328-G328</f>
        <v>0</v>
      </c>
      <c r="I328" s="25" t="n">
        <f aca="false">IF(F328="SIM","",H328/E328)</f>
        <v>0</v>
      </c>
    </row>
    <row r="329" customFormat="false" ht="15" hidden="false" customHeight="false" outlineLevel="0" collapsed="false">
      <c r="A329" s="7" t="s">
        <v>651</v>
      </c>
      <c r="B329" s="7" t="s">
        <v>200</v>
      </c>
      <c r="C329" s="7" t="s">
        <v>652</v>
      </c>
      <c r="D329" s="7" t="s">
        <v>273</v>
      </c>
      <c r="E329" s="18" t="n">
        <v>36635814.85</v>
      </c>
      <c r="F329" s="24" t="str">
        <f aca="false">IF(E329&gt;=MUS_Parametros!$B$12,"SIM","NÃO")</f>
        <v>SIM</v>
      </c>
      <c r="G329" s="18" t="n">
        <v>36635814.85</v>
      </c>
      <c r="H329" s="21" t="n">
        <f aca="false">E329-G329</f>
        <v>0</v>
      </c>
      <c r="I329" s="25" t="str">
        <f aca="false">IF(F329="SIM","",H329/E329)</f>
        <v/>
      </c>
    </row>
    <row r="330" customFormat="false" ht="15" hidden="false" customHeight="false" outlineLevel="0" collapsed="false">
      <c r="A330" s="7" t="s">
        <v>653</v>
      </c>
      <c r="B330" s="7" t="s">
        <v>198</v>
      </c>
      <c r="C330" s="7" t="s">
        <v>285</v>
      </c>
      <c r="D330" s="7" t="s">
        <v>273</v>
      </c>
      <c r="E330" s="18" t="n">
        <v>47766.75</v>
      </c>
      <c r="F330" s="24" t="str">
        <f aca="false">IF(E330&gt;=MUS_Parametros!$B$12,"SIM","NÃO")</f>
        <v>NÃO</v>
      </c>
      <c r="G330" s="18" t="n">
        <v>47766.75</v>
      </c>
      <c r="H330" s="21" t="n">
        <f aca="false">E330-G330</f>
        <v>0</v>
      </c>
      <c r="I330" s="25" t="n">
        <f aca="false">IF(F330="SIM","",H330/E330)</f>
        <v>0</v>
      </c>
    </row>
    <row r="331" customFormat="false" ht="15" hidden="false" customHeight="false" outlineLevel="0" collapsed="false">
      <c r="A331" s="7" t="s">
        <v>654</v>
      </c>
      <c r="B331" s="7" t="s">
        <v>198</v>
      </c>
      <c r="C331" s="7" t="s">
        <v>285</v>
      </c>
      <c r="D331" s="7" t="s">
        <v>273</v>
      </c>
      <c r="E331" s="18" t="n">
        <v>11326.34</v>
      </c>
      <c r="F331" s="24" t="str">
        <f aca="false">IF(E331&gt;=MUS_Parametros!$B$12,"SIM","NÃO")</f>
        <v>NÃO</v>
      </c>
      <c r="G331" s="18" t="n">
        <v>11326.34</v>
      </c>
      <c r="H331" s="21" t="n">
        <f aca="false">E331-G331</f>
        <v>0</v>
      </c>
      <c r="I331" s="25" t="n">
        <f aca="false">IF(F331="SIM","",H331/E331)</f>
        <v>0</v>
      </c>
    </row>
    <row r="332" customFormat="false" ht="15" hidden="false" customHeight="false" outlineLevel="0" collapsed="false">
      <c r="A332" s="7" t="s">
        <v>655</v>
      </c>
      <c r="B332" s="7" t="s">
        <v>198</v>
      </c>
      <c r="C332" s="7" t="s">
        <v>287</v>
      </c>
      <c r="D332" s="7" t="s">
        <v>273</v>
      </c>
      <c r="E332" s="18" t="n">
        <v>1500956.06</v>
      </c>
      <c r="F332" s="24" t="str">
        <f aca="false">IF(E332&gt;=MUS_Parametros!$B$12,"SIM","NÃO")</f>
        <v>NÃO</v>
      </c>
      <c r="G332" s="18" t="n">
        <v>1500956.06</v>
      </c>
      <c r="H332" s="21" t="n">
        <f aca="false">E332-G332</f>
        <v>0</v>
      </c>
      <c r="I332" s="25" t="n">
        <f aca="false">IF(F332="SIM","",H332/E332)</f>
        <v>0</v>
      </c>
    </row>
    <row r="333" customFormat="false" ht="15" hidden="false" customHeight="false" outlineLevel="0" collapsed="false">
      <c r="A333" s="7" t="s">
        <v>656</v>
      </c>
      <c r="B333" s="7" t="s">
        <v>198</v>
      </c>
      <c r="C333" s="7" t="s">
        <v>280</v>
      </c>
      <c r="D333" s="7" t="s">
        <v>273</v>
      </c>
      <c r="E333" s="18" t="n">
        <v>69929.05</v>
      </c>
      <c r="F333" s="24" t="str">
        <f aca="false">IF(E333&gt;=MUS_Parametros!$B$12,"SIM","NÃO")</f>
        <v>NÃO</v>
      </c>
      <c r="G333" s="18" t="n">
        <v>69929.05</v>
      </c>
      <c r="H333" s="21" t="n">
        <f aca="false">E333-G333</f>
        <v>0</v>
      </c>
      <c r="I333" s="25" t="n">
        <f aca="false">IF(F333="SIM","",H333/E333)</f>
        <v>0</v>
      </c>
    </row>
    <row r="334" customFormat="false" ht="15" hidden="false" customHeight="false" outlineLevel="0" collapsed="false">
      <c r="A334" s="7" t="s">
        <v>657</v>
      </c>
      <c r="B334" s="7" t="s">
        <v>198</v>
      </c>
      <c r="C334" s="7" t="s">
        <v>280</v>
      </c>
      <c r="D334" s="7" t="s">
        <v>273</v>
      </c>
      <c r="E334" s="18" t="n">
        <v>79908.55</v>
      </c>
      <c r="F334" s="24" t="str">
        <f aca="false">IF(E334&gt;=MUS_Parametros!$B$12,"SIM","NÃO")</f>
        <v>NÃO</v>
      </c>
      <c r="G334" s="18" t="n">
        <v>79908.55</v>
      </c>
      <c r="H334" s="21" t="n">
        <f aca="false">E334-G334</f>
        <v>0</v>
      </c>
      <c r="I334" s="25" t="n">
        <f aca="false">IF(F334="SIM","",H334/E334)</f>
        <v>0</v>
      </c>
    </row>
    <row r="335" customFormat="false" ht="15" hidden="false" customHeight="false" outlineLevel="0" collapsed="false">
      <c r="A335" s="7" t="s">
        <v>658</v>
      </c>
      <c r="B335" s="7" t="s">
        <v>198</v>
      </c>
      <c r="C335" s="7" t="s">
        <v>287</v>
      </c>
      <c r="D335" s="7" t="s">
        <v>273</v>
      </c>
      <c r="E335" s="18" t="n">
        <v>1636951.55</v>
      </c>
      <c r="F335" s="24" t="str">
        <f aca="false">IF(E335&gt;=MUS_Parametros!$B$12,"SIM","NÃO")</f>
        <v>NÃO</v>
      </c>
      <c r="G335" s="18" t="n">
        <v>1636951.55</v>
      </c>
      <c r="H335" s="21" t="n">
        <f aca="false">E335-G335</f>
        <v>0</v>
      </c>
      <c r="I335" s="25" t="n">
        <f aca="false">IF(F335="SIM","",H335/E335)</f>
        <v>0</v>
      </c>
    </row>
    <row r="336" customFormat="false" ht="15" hidden="false" customHeight="false" outlineLevel="0" collapsed="false">
      <c r="A336" s="7" t="s">
        <v>659</v>
      </c>
      <c r="B336" s="7" t="s">
        <v>198</v>
      </c>
      <c r="C336" s="7" t="s">
        <v>287</v>
      </c>
      <c r="D336" s="7" t="s">
        <v>273</v>
      </c>
      <c r="E336" s="18" t="n">
        <v>44246.58</v>
      </c>
      <c r="F336" s="24" t="str">
        <f aca="false">IF(E336&gt;=MUS_Parametros!$B$12,"SIM","NÃO")</f>
        <v>NÃO</v>
      </c>
      <c r="G336" s="18" t="n">
        <v>44246.58</v>
      </c>
      <c r="H336" s="21" t="n">
        <f aca="false">E336-G336</f>
        <v>0</v>
      </c>
      <c r="I336" s="25" t="n">
        <f aca="false">IF(F336="SIM","",H336/E336)</f>
        <v>0</v>
      </c>
    </row>
    <row r="337" customFormat="false" ht="15" hidden="false" customHeight="false" outlineLevel="0" collapsed="false">
      <c r="A337" s="7" t="s">
        <v>660</v>
      </c>
      <c r="B337" s="7" t="s">
        <v>202</v>
      </c>
      <c r="C337" s="7" t="s">
        <v>661</v>
      </c>
      <c r="D337" s="7" t="s">
        <v>273</v>
      </c>
      <c r="E337" s="18" t="n">
        <v>29722476.06</v>
      </c>
      <c r="F337" s="24" t="str">
        <f aca="false">IF(E337&gt;=MUS_Parametros!$B$12,"SIM","NÃO")</f>
        <v>NÃO</v>
      </c>
      <c r="G337" s="18" t="n">
        <v>29722476.06</v>
      </c>
      <c r="H337" s="21" t="n">
        <f aca="false">E337-G337</f>
        <v>0</v>
      </c>
      <c r="I337" s="25" t="n">
        <f aca="false">IF(F337="SIM","",H337/E337)</f>
        <v>0</v>
      </c>
    </row>
    <row r="338" customFormat="false" ht="15" hidden="false" customHeight="false" outlineLevel="0" collapsed="false">
      <c r="A338" s="7" t="s">
        <v>662</v>
      </c>
      <c r="B338" s="7" t="s">
        <v>198</v>
      </c>
      <c r="C338" s="7" t="s">
        <v>280</v>
      </c>
      <c r="D338" s="7" t="s">
        <v>273</v>
      </c>
      <c r="E338" s="18" t="n">
        <v>25824.51</v>
      </c>
      <c r="F338" s="24" t="str">
        <f aca="false">IF(E338&gt;=MUS_Parametros!$B$12,"SIM","NÃO")</f>
        <v>NÃO</v>
      </c>
      <c r="G338" s="18" t="n">
        <v>25824.51</v>
      </c>
      <c r="H338" s="21" t="n">
        <f aca="false">E338-G338</f>
        <v>0</v>
      </c>
      <c r="I338" s="25" t="n">
        <f aca="false">IF(F338="SIM","",H338/E338)</f>
        <v>0</v>
      </c>
    </row>
    <row r="339" customFormat="false" ht="15" hidden="false" customHeight="false" outlineLevel="0" collapsed="false">
      <c r="A339" s="7" t="s">
        <v>663</v>
      </c>
      <c r="B339" s="7" t="s">
        <v>198</v>
      </c>
      <c r="C339" s="7" t="s">
        <v>283</v>
      </c>
      <c r="D339" s="7" t="s">
        <v>273</v>
      </c>
      <c r="E339" s="18" t="n">
        <v>57615.02</v>
      </c>
      <c r="F339" s="24" t="str">
        <f aca="false">IF(E339&gt;=MUS_Parametros!$B$12,"SIM","NÃO")</f>
        <v>NÃO</v>
      </c>
      <c r="G339" s="18" t="n">
        <v>57615.02</v>
      </c>
      <c r="H339" s="21" t="n">
        <f aca="false">E339-G339</f>
        <v>0</v>
      </c>
      <c r="I339" s="25" t="n">
        <f aca="false">IF(F339="SIM","",H339/E339)</f>
        <v>0</v>
      </c>
    </row>
    <row r="340" customFormat="false" ht="15" hidden="false" customHeight="false" outlineLevel="0" collapsed="false">
      <c r="A340" s="7" t="s">
        <v>664</v>
      </c>
      <c r="B340" s="7" t="s">
        <v>198</v>
      </c>
      <c r="C340" s="7" t="s">
        <v>287</v>
      </c>
      <c r="D340" s="7" t="s">
        <v>273</v>
      </c>
      <c r="E340" s="18" t="n">
        <v>400050.57</v>
      </c>
      <c r="F340" s="24" t="str">
        <f aca="false">IF(E340&gt;=MUS_Parametros!$B$12,"SIM","NÃO")</f>
        <v>NÃO</v>
      </c>
      <c r="G340" s="18" t="n">
        <v>400050.57</v>
      </c>
      <c r="H340" s="21" t="n">
        <f aca="false">E340-G340</f>
        <v>0</v>
      </c>
      <c r="I340" s="25" t="n">
        <f aca="false">IF(F340="SIM","",H340/E340)</f>
        <v>0</v>
      </c>
    </row>
    <row r="341" customFormat="false" ht="15" hidden="false" customHeight="false" outlineLevel="0" collapsed="false">
      <c r="A341" s="7" t="s">
        <v>665</v>
      </c>
      <c r="B341" s="7" t="s">
        <v>198</v>
      </c>
      <c r="C341" s="7" t="s">
        <v>272</v>
      </c>
      <c r="D341" s="7" t="s">
        <v>273</v>
      </c>
      <c r="E341" s="18" t="n">
        <v>7857431.85</v>
      </c>
      <c r="F341" s="24" t="str">
        <f aca="false">IF(E341&gt;=MUS_Parametros!$B$12,"SIM","NÃO")</f>
        <v>NÃO</v>
      </c>
      <c r="G341" s="18" t="n">
        <v>7857431.85</v>
      </c>
      <c r="H341" s="21" t="n">
        <f aca="false">E341-G341</f>
        <v>0</v>
      </c>
      <c r="I341" s="25" t="n">
        <f aca="false">IF(F341="SIM","",H341/E341)</f>
        <v>0</v>
      </c>
    </row>
    <row r="342" customFormat="false" ht="15" hidden="false" customHeight="false" outlineLevel="0" collapsed="false">
      <c r="A342" s="7" t="s">
        <v>666</v>
      </c>
      <c r="B342" s="7" t="s">
        <v>200</v>
      </c>
      <c r="C342" s="7" t="s">
        <v>667</v>
      </c>
      <c r="D342" s="7" t="s">
        <v>273</v>
      </c>
      <c r="E342" s="18" t="n">
        <v>30035108</v>
      </c>
      <c r="F342" s="24" t="str">
        <f aca="false">IF(E342&gt;=MUS_Parametros!$B$12,"SIM","NÃO")</f>
        <v>NÃO</v>
      </c>
      <c r="G342" s="18" t="n">
        <v>30035108</v>
      </c>
      <c r="H342" s="21" t="n">
        <f aca="false">E342-G342</f>
        <v>0</v>
      </c>
      <c r="I342" s="25" t="n">
        <f aca="false">IF(F342="SIM","",H342/E342)</f>
        <v>0</v>
      </c>
    </row>
    <row r="343" customFormat="false" ht="15" hidden="false" customHeight="false" outlineLevel="0" collapsed="false">
      <c r="A343" s="7" t="s">
        <v>668</v>
      </c>
      <c r="B343" s="7" t="s">
        <v>198</v>
      </c>
      <c r="C343" s="7" t="s">
        <v>272</v>
      </c>
      <c r="D343" s="7" t="s">
        <v>273</v>
      </c>
      <c r="E343" s="18" t="n">
        <v>3749747.46</v>
      </c>
      <c r="F343" s="24" t="str">
        <f aca="false">IF(E343&gt;=MUS_Parametros!$B$12,"SIM","NÃO")</f>
        <v>NÃO</v>
      </c>
      <c r="G343" s="18" t="n">
        <v>3749747.46</v>
      </c>
      <c r="H343" s="21" t="n">
        <f aca="false">E343-G343</f>
        <v>0</v>
      </c>
      <c r="I343" s="25" t="n">
        <f aca="false">IF(F343="SIM","",H343/E343)</f>
        <v>0</v>
      </c>
    </row>
    <row r="344" customFormat="false" ht="15" hidden="false" customHeight="false" outlineLevel="0" collapsed="false">
      <c r="A344" s="7" t="s">
        <v>669</v>
      </c>
      <c r="B344" s="7" t="s">
        <v>198</v>
      </c>
      <c r="C344" s="7" t="s">
        <v>287</v>
      </c>
      <c r="D344" s="7" t="s">
        <v>273</v>
      </c>
      <c r="E344" s="18" t="n">
        <v>5834357.16</v>
      </c>
      <c r="F344" s="24" t="str">
        <f aca="false">IF(E344&gt;=MUS_Parametros!$B$12,"SIM","NÃO")</f>
        <v>NÃO</v>
      </c>
      <c r="G344" s="18" t="n">
        <v>5834357.16</v>
      </c>
      <c r="H344" s="21" t="n">
        <f aca="false">E344-G344</f>
        <v>0</v>
      </c>
      <c r="I344" s="25" t="n">
        <f aca="false">IF(F344="SIM","",H344/E344)</f>
        <v>0</v>
      </c>
    </row>
    <row r="345" customFormat="false" ht="15" hidden="false" customHeight="false" outlineLevel="0" collapsed="false">
      <c r="A345" s="7" t="s">
        <v>670</v>
      </c>
      <c r="B345" s="7" t="s">
        <v>198</v>
      </c>
      <c r="C345" s="7" t="s">
        <v>272</v>
      </c>
      <c r="D345" s="7" t="s">
        <v>273</v>
      </c>
      <c r="E345" s="18" t="n">
        <v>3799074.71</v>
      </c>
      <c r="F345" s="24" t="str">
        <f aca="false">IF(E345&gt;=MUS_Parametros!$B$12,"SIM","NÃO")</f>
        <v>NÃO</v>
      </c>
      <c r="G345" s="18" t="n">
        <v>3799074.71</v>
      </c>
      <c r="H345" s="21" t="n">
        <f aca="false">E345-G345</f>
        <v>0</v>
      </c>
      <c r="I345" s="25" t="n">
        <f aca="false">IF(F345="SIM","",H345/E345)</f>
        <v>0</v>
      </c>
    </row>
    <row r="346" customFormat="false" ht="15" hidden="false" customHeight="false" outlineLevel="0" collapsed="false">
      <c r="A346" s="7" t="s">
        <v>671</v>
      </c>
      <c r="B346" s="7" t="s">
        <v>198</v>
      </c>
      <c r="C346" s="7" t="s">
        <v>283</v>
      </c>
      <c r="D346" s="7" t="s">
        <v>273</v>
      </c>
      <c r="E346" s="18" t="n">
        <v>1534730.99</v>
      </c>
      <c r="F346" s="24" t="str">
        <f aca="false">IF(E346&gt;=MUS_Parametros!$B$12,"SIM","NÃO")</f>
        <v>NÃO</v>
      </c>
      <c r="G346" s="18" t="n">
        <v>1534730.99</v>
      </c>
      <c r="H346" s="21" t="n">
        <f aca="false">E346-G346</f>
        <v>0</v>
      </c>
      <c r="I346" s="25" t="n">
        <f aca="false">IF(F346="SIM","",H346/E346)</f>
        <v>0</v>
      </c>
    </row>
    <row r="347" customFormat="false" ht="15" hidden="false" customHeight="false" outlineLevel="0" collapsed="false">
      <c r="A347" s="7" t="s">
        <v>672</v>
      </c>
      <c r="B347" s="7" t="s">
        <v>198</v>
      </c>
      <c r="C347" s="7" t="s">
        <v>287</v>
      </c>
      <c r="D347" s="7" t="s">
        <v>273</v>
      </c>
      <c r="E347" s="18" t="n">
        <v>1202549.83</v>
      </c>
      <c r="F347" s="24" t="str">
        <f aca="false">IF(E347&gt;=MUS_Parametros!$B$12,"SIM","NÃO")</f>
        <v>NÃO</v>
      </c>
      <c r="G347" s="18" t="n">
        <v>1202549.83</v>
      </c>
      <c r="H347" s="21" t="n">
        <f aca="false">E347-G347</f>
        <v>0</v>
      </c>
      <c r="I347" s="25" t="n">
        <f aca="false">IF(F347="SIM","",H347/E347)</f>
        <v>0</v>
      </c>
    </row>
    <row r="348" customFormat="false" ht="15" hidden="false" customHeight="false" outlineLevel="0" collapsed="false">
      <c r="A348" s="7" t="s">
        <v>673</v>
      </c>
      <c r="B348" s="7" t="s">
        <v>200</v>
      </c>
      <c r="C348" s="7" t="s">
        <v>674</v>
      </c>
      <c r="D348" s="7" t="s">
        <v>273</v>
      </c>
      <c r="E348" s="18" t="n">
        <v>23387729.25</v>
      </c>
      <c r="F348" s="24" t="str">
        <f aca="false">IF(E348&gt;=MUS_Parametros!$B$12,"SIM","NÃO")</f>
        <v>NÃO</v>
      </c>
      <c r="G348" s="18" t="n">
        <v>23387729.25</v>
      </c>
      <c r="H348" s="21" t="n">
        <f aca="false">E348-G348</f>
        <v>0</v>
      </c>
      <c r="I348" s="25" t="n">
        <f aca="false">IF(F348="SIM","",H348/E348)</f>
        <v>0</v>
      </c>
    </row>
    <row r="349" customFormat="false" ht="15" hidden="false" customHeight="false" outlineLevel="0" collapsed="false">
      <c r="A349" s="7" t="s">
        <v>675</v>
      </c>
      <c r="B349" s="7" t="s">
        <v>198</v>
      </c>
      <c r="C349" s="7" t="s">
        <v>272</v>
      </c>
      <c r="D349" s="7" t="s">
        <v>273</v>
      </c>
      <c r="E349" s="18" t="n">
        <v>1307598.28</v>
      </c>
      <c r="F349" s="24" t="str">
        <f aca="false">IF(E349&gt;=MUS_Parametros!$B$12,"SIM","NÃO")</f>
        <v>NÃO</v>
      </c>
      <c r="G349" s="18" t="n">
        <v>1307598.28</v>
      </c>
      <c r="H349" s="21" t="n">
        <f aca="false">E349-G349</f>
        <v>0</v>
      </c>
      <c r="I349" s="25" t="n">
        <f aca="false">IF(F349="SIM","",H349/E349)</f>
        <v>0</v>
      </c>
    </row>
    <row r="350" customFormat="false" ht="15" hidden="false" customHeight="false" outlineLevel="0" collapsed="false">
      <c r="A350" s="7" t="s">
        <v>676</v>
      </c>
      <c r="B350" s="7" t="s">
        <v>200</v>
      </c>
      <c r="C350" s="7" t="s">
        <v>677</v>
      </c>
      <c r="D350" s="7" t="s">
        <v>273</v>
      </c>
      <c r="E350" s="18" t="n">
        <v>23923598.96</v>
      </c>
      <c r="F350" s="24" t="str">
        <f aca="false">IF(E350&gt;=MUS_Parametros!$B$12,"SIM","NÃO")</f>
        <v>NÃO</v>
      </c>
      <c r="G350" s="18" t="n">
        <v>23923598.96</v>
      </c>
      <c r="H350" s="21" t="n">
        <f aca="false">E350-G350</f>
        <v>0</v>
      </c>
      <c r="I350" s="25" t="n">
        <f aca="false">IF(F350="SIM","",H350/E350)</f>
        <v>0</v>
      </c>
    </row>
    <row r="351" customFormat="false" ht="15" hidden="false" customHeight="false" outlineLevel="0" collapsed="false">
      <c r="A351" s="7" t="s">
        <v>678</v>
      </c>
      <c r="B351" s="7" t="s">
        <v>198</v>
      </c>
      <c r="C351" s="7" t="s">
        <v>283</v>
      </c>
      <c r="D351" s="7" t="s">
        <v>273</v>
      </c>
      <c r="E351" s="18" t="n">
        <v>259263.95</v>
      </c>
      <c r="F351" s="24" t="str">
        <f aca="false">IF(E351&gt;=MUS_Parametros!$B$12,"SIM","NÃO")</f>
        <v>NÃO</v>
      </c>
      <c r="G351" s="18" t="n">
        <v>259263.95</v>
      </c>
      <c r="H351" s="21" t="n">
        <f aca="false">E351-G351</f>
        <v>0</v>
      </c>
      <c r="I351" s="25" t="n">
        <f aca="false">IF(F351="SIM","",H351/E351)</f>
        <v>0</v>
      </c>
    </row>
    <row r="352" customFormat="false" ht="15" hidden="false" customHeight="false" outlineLevel="0" collapsed="false">
      <c r="A352" s="7" t="s">
        <v>679</v>
      </c>
      <c r="B352" s="7" t="s">
        <v>198</v>
      </c>
      <c r="C352" s="7" t="s">
        <v>280</v>
      </c>
      <c r="D352" s="7" t="s">
        <v>273</v>
      </c>
      <c r="E352" s="18" t="n">
        <v>153795.53</v>
      </c>
      <c r="F352" s="24" t="str">
        <f aca="false">IF(E352&gt;=MUS_Parametros!$B$12,"SIM","NÃO")</f>
        <v>NÃO</v>
      </c>
      <c r="G352" s="18" t="n">
        <v>153795.53</v>
      </c>
      <c r="H352" s="21" t="n">
        <f aca="false">E352-G352</f>
        <v>0</v>
      </c>
      <c r="I352" s="25" t="n">
        <f aca="false">IF(F352="SIM","",H352/E352)</f>
        <v>0</v>
      </c>
    </row>
    <row r="353" customFormat="false" ht="15" hidden="false" customHeight="false" outlineLevel="0" collapsed="false">
      <c r="A353" s="7" t="s">
        <v>680</v>
      </c>
      <c r="B353" s="7" t="s">
        <v>198</v>
      </c>
      <c r="C353" s="7" t="s">
        <v>280</v>
      </c>
      <c r="D353" s="7" t="s">
        <v>273</v>
      </c>
      <c r="E353" s="18" t="n">
        <v>40546.8</v>
      </c>
      <c r="F353" s="24" t="str">
        <f aca="false">IF(E353&gt;=MUS_Parametros!$B$12,"SIM","NÃO")</f>
        <v>NÃO</v>
      </c>
      <c r="G353" s="18" t="n">
        <v>40546.8</v>
      </c>
      <c r="H353" s="21" t="n">
        <f aca="false">E353-G353</f>
        <v>0</v>
      </c>
      <c r="I353" s="25" t="n">
        <f aca="false">IF(F353="SIM","",H353/E353)</f>
        <v>0</v>
      </c>
    </row>
    <row r="354" customFormat="false" ht="15" hidden="false" customHeight="false" outlineLevel="0" collapsed="false">
      <c r="A354" s="7" t="s">
        <v>681</v>
      </c>
      <c r="B354" s="7" t="s">
        <v>198</v>
      </c>
      <c r="C354" s="7" t="s">
        <v>280</v>
      </c>
      <c r="D354" s="7" t="s">
        <v>273</v>
      </c>
      <c r="E354" s="18" t="n">
        <v>51725.23</v>
      </c>
      <c r="F354" s="24" t="str">
        <f aca="false">IF(E354&gt;=MUS_Parametros!$B$12,"SIM","NÃO")</f>
        <v>NÃO</v>
      </c>
      <c r="G354" s="18" t="n">
        <v>51725.23</v>
      </c>
      <c r="H354" s="21" t="n">
        <f aca="false">E354-G354</f>
        <v>0</v>
      </c>
      <c r="I354" s="25" t="n">
        <f aca="false">IF(F354="SIM","",H354/E354)</f>
        <v>0</v>
      </c>
    </row>
    <row r="355" customFormat="false" ht="15" hidden="false" customHeight="false" outlineLevel="0" collapsed="false">
      <c r="A355" s="7" t="s">
        <v>682</v>
      </c>
      <c r="B355" s="7" t="s">
        <v>202</v>
      </c>
      <c r="C355" s="7" t="s">
        <v>683</v>
      </c>
      <c r="D355" s="7" t="s">
        <v>273</v>
      </c>
      <c r="E355" s="18" t="n">
        <v>32325343.39</v>
      </c>
      <c r="F355" s="24" t="str">
        <f aca="false">IF(E355&gt;=MUS_Parametros!$B$12,"SIM","NÃO")</f>
        <v>SIM</v>
      </c>
      <c r="G355" s="18" t="n">
        <v>32325343.39</v>
      </c>
      <c r="H355" s="21" t="n">
        <f aca="false">E355-G355</f>
        <v>0</v>
      </c>
      <c r="I355" s="25" t="str">
        <f aca="false">IF(F355="SIM","",H355/E355)</f>
        <v/>
      </c>
    </row>
    <row r="356" customFormat="false" ht="15" hidden="false" customHeight="false" outlineLevel="0" collapsed="false">
      <c r="A356" s="7" t="s">
        <v>684</v>
      </c>
      <c r="B356" s="7" t="s">
        <v>198</v>
      </c>
      <c r="C356" s="7" t="s">
        <v>272</v>
      </c>
      <c r="D356" s="7" t="s">
        <v>273</v>
      </c>
      <c r="E356" s="18" t="n">
        <v>13375406.24</v>
      </c>
      <c r="F356" s="24" t="str">
        <f aca="false">IF(E356&gt;=MUS_Parametros!$B$12,"SIM","NÃO")</f>
        <v>NÃO</v>
      </c>
      <c r="G356" s="18" t="n">
        <v>13375406.24</v>
      </c>
      <c r="H356" s="21" t="n">
        <f aca="false">E356-G356</f>
        <v>0</v>
      </c>
      <c r="I356" s="25" t="n">
        <f aca="false">IF(F356="SIM","",H356/E356)</f>
        <v>0</v>
      </c>
    </row>
    <row r="357" customFormat="false" ht="15" hidden="false" customHeight="false" outlineLevel="0" collapsed="false">
      <c r="A357" s="7" t="s">
        <v>685</v>
      </c>
      <c r="B357" s="7" t="s">
        <v>198</v>
      </c>
      <c r="C357" s="7" t="s">
        <v>287</v>
      </c>
      <c r="D357" s="7" t="s">
        <v>273</v>
      </c>
      <c r="E357" s="18" t="n">
        <v>688897.36</v>
      </c>
      <c r="F357" s="24" t="str">
        <f aca="false">IF(E357&gt;=MUS_Parametros!$B$12,"SIM","NÃO")</f>
        <v>NÃO</v>
      </c>
      <c r="G357" s="18" t="n">
        <v>688897.36</v>
      </c>
      <c r="H357" s="21" t="n">
        <f aca="false">E357-G357</f>
        <v>0</v>
      </c>
      <c r="I357" s="25" t="n">
        <f aca="false">IF(F357="SIM","",H357/E357)</f>
        <v>0</v>
      </c>
    </row>
    <row r="358" customFormat="false" ht="15" hidden="false" customHeight="false" outlineLevel="0" collapsed="false">
      <c r="A358" s="7" t="s">
        <v>686</v>
      </c>
      <c r="B358" s="7" t="s">
        <v>198</v>
      </c>
      <c r="C358" s="7" t="s">
        <v>272</v>
      </c>
      <c r="D358" s="7" t="s">
        <v>273</v>
      </c>
      <c r="E358" s="18" t="n">
        <v>2170253.78</v>
      </c>
      <c r="F358" s="24" t="str">
        <f aca="false">IF(E358&gt;=MUS_Parametros!$B$12,"SIM","NÃO")</f>
        <v>NÃO</v>
      </c>
      <c r="G358" s="18" t="n">
        <v>2170253.78</v>
      </c>
      <c r="H358" s="21" t="n">
        <f aca="false">E358-G358</f>
        <v>0</v>
      </c>
      <c r="I358" s="25" t="n">
        <f aca="false">IF(F358="SIM","",H358/E358)</f>
        <v>0</v>
      </c>
    </row>
    <row r="359" customFormat="false" ht="15" hidden="false" customHeight="false" outlineLevel="0" collapsed="false">
      <c r="A359" s="7" t="s">
        <v>687</v>
      </c>
      <c r="B359" s="7" t="s">
        <v>198</v>
      </c>
      <c r="C359" s="7" t="s">
        <v>287</v>
      </c>
      <c r="D359" s="7" t="s">
        <v>273</v>
      </c>
      <c r="E359" s="18" t="n">
        <v>648382.53</v>
      </c>
      <c r="F359" s="24" t="str">
        <f aca="false">IF(E359&gt;=MUS_Parametros!$B$12,"SIM","NÃO")</f>
        <v>NÃO</v>
      </c>
      <c r="G359" s="18" t="n">
        <v>648382.53</v>
      </c>
      <c r="H359" s="21" t="n">
        <f aca="false">E359-G359</f>
        <v>0</v>
      </c>
      <c r="I359" s="25" t="n">
        <f aca="false">IF(F359="SIM","",H359/E359)</f>
        <v>0</v>
      </c>
    </row>
    <row r="360" customFormat="false" ht="15" hidden="false" customHeight="false" outlineLevel="0" collapsed="false">
      <c r="A360" s="7" t="s">
        <v>688</v>
      </c>
      <c r="B360" s="7" t="s">
        <v>198</v>
      </c>
      <c r="C360" s="7" t="s">
        <v>287</v>
      </c>
      <c r="D360" s="7" t="s">
        <v>273</v>
      </c>
      <c r="E360" s="18" t="n">
        <v>640102.94</v>
      </c>
      <c r="F360" s="24" t="str">
        <f aca="false">IF(E360&gt;=MUS_Parametros!$B$12,"SIM","NÃO")</f>
        <v>NÃO</v>
      </c>
      <c r="G360" s="18" t="n">
        <v>640102.94</v>
      </c>
      <c r="H360" s="21" t="n">
        <f aca="false">E360-G360</f>
        <v>0</v>
      </c>
      <c r="I360" s="25" t="n">
        <f aca="false">IF(F360="SIM","",H360/E360)</f>
        <v>0</v>
      </c>
    </row>
    <row r="361" customFormat="false" ht="15" hidden="false" customHeight="false" outlineLevel="0" collapsed="false">
      <c r="A361" s="7" t="s">
        <v>689</v>
      </c>
      <c r="B361" s="7" t="s">
        <v>198</v>
      </c>
      <c r="C361" s="7" t="s">
        <v>283</v>
      </c>
      <c r="D361" s="7" t="s">
        <v>273</v>
      </c>
      <c r="E361" s="18" t="n">
        <v>666034.53</v>
      </c>
      <c r="F361" s="24" t="str">
        <f aca="false">IF(E361&gt;=MUS_Parametros!$B$12,"SIM","NÃO")</f>
        <v>NÃO</v>
      </c>
      <c r="G361" s="18" t="n">
        <v>666034.53</v>
      </c>
      <c r="H361" s="21" t="n">
        <f aca="false">E361-G361</f>
        <v>0</v>
      </c>
      <c r="I361" s="25" t="n">
        <f aca="false">IF(F361="SIM","",H361/E361)</f>
        <v>0</v>
      </c>
    </row>
    <row r="362" customFormat="false" ht="15" hidden="false" customHeight="false" outlineLevel="0" collapsed="false">
      <c r="A362" s="7" t="s">
        <v>690</v>
      </c>
      <c r="B362" s="7" t="s">
        <v>198</v>
      </c>
      <c r="C362" s="7" t="s">
        <v>402</v>
      </c>
      <c r="D362" s="7" t="s">
        <v>273</v>
      </c>
      <c r="E362" s="18" t="n">
        <v>1494.82</v>
      </c>
      <c r="F362" s="24" t="str">
        <f aca="false">IF(E362&gt;=MUS_Parametros!$B$12,"SIM","NÃO")</f>
        <v>NÃO</v>
      </c>
      <c r="G362" s="18" t="n">
        <v>1494.82</v>
      </c>
      <c r="H362" s="21" t="n">
        <f aca="false">E362-G362</f>
        <v>0</v>
      </c>
      <c r="I362" s="25" t="n">
        <f aca="false">IF(F362="SIM","",H362/E362)</f>
        <v>0</v>
      </c>
    </row>
    <row r="363" customFormat="false" ht="15" hidden="false" customHeight="false" outlineLevel="0" collapsed="false">
      <c r="A363" s="7" t="s">
        <v>691</v>
      </c>
      <c r="B363" s="7" t="s">
        <v>198</v>
      </c>
      <c r="C363" s="7" t="s">
        <v>272</v>
      </c>
      <c r="D363" s="7" t="s">
        <v>273</v>
      </c>
      <c r="E363" s="18" t="n">
        <v>2288074.13</v>
      </c>
      <c r="F363" s="24" t="str">
        <f aca="false">IF(E363&gt;=MUS_Parametros!$B$12,"SIM","NÃO")</f>
        <v>NÃO</v>
      </c>
      <c r="G363" s="18" t="n">
        <v>2288074.13</v>
      </c>
      <c r="H363" s="21" t="n">
        <f aca="false">E363-G363</f>
        <v>0</v>
      </c>
      <c r="I363" s="25" t="n">
        <f aca="false">IF(F363="SIM","",H363/E363)</f>
        <v>0</v>
      </c>
    </row>
    <row r="364" customFormat="false" ht="15" hidden="false" customHeight="false" outlineLevel="0" collapsed="false">
      <c r="A364" s="7" t="s">
        <v>692</v>
      </c>
      <c r="B364" s="7" t="s">
        <v>198</v>
      </c>
      <c r="C364" s="7" t="s">
        <v>272</v>
      </c>
      <c r="D364" s="7" t="s">
        <v>273</v>
      </c>
      <c r="E364" s="18" t="n">
        <v>437374.69</v>
      </c>
      <c r="F364" s="24" t="str">
        <f aca="false">IF(E364&gt;=MUS_Parametros!$B$12,"SIM","NÃO")</f>
        <v>NÃO</v>
      </c>
      <c r="G364" s="18" t="n">
        <v>437374.69</v>
      </c>
      <c r="H364" s="21" t="n">
        <f aca="false">E364-G364</f>
        <v>0</v>
      </c>
      <c r="I364" s="25" t="n">
        <f aca="false">IF(F364="SIM","",H364/E364)</f>
        <v>0</v>
      </c>
    </row>
    <row r="365" customFormat="false" ht="15" hidden="false" customHeight="false" outlineLevel="0" collapsed="false">
      <c r="A365" s="7" t="s">
        <v>693</v>
      </c>
      <c r="B365" s="7" t="s">
        <v>198</v>
      </c>
      <c r="C365" s="7" t="s">
        <v>272</v>
      </c>
      <c r="D365" s="7" t="s">
        <v>273</v>
      </c>
      <c r="E365" s="18" t="n">
        <v>1552469.27</v>
      </c>
      <c r="F365" s="24" t="str">
        <f aca="false">IF(E365&gt;=MUS_Parametros!$B$12,"SIM","NÃO")</f>
        <v>NÃO</v>
      </c>
      <c r="G365" s="18" t="n">
        <v>1552469.27</v>
      </c>
      <c r="H365" s="21" t="n">
        <f aca="false">E365-G365</f>
        <v>0</v>
      </c>
      <c r="I365" s="25" t="n">
        <f aca="false">IF(F365="SIM","",H365/E365)</f>
        <v>0</v>
      </c>
    </row>
    <row r="366" customFormat="false" ht="15" hidden="false" customHeight="false" outlineLevel="0" collapsed="false">
      <c r="A366" s="7" t="s">
        <v>694</v>
      </c>
      <c r="B366" s="7" t="s">
        <v>198</v>
      </c>
      <c r="C366" s="7" t="s">
        <v>287</v>
      </c>
      <c r="D366" s="7" t="s">
        <v>273</v>
      </c>
      <c r="E366" s="18" t="n">
        <v>259749.46</v>
      </c>
      <c r="F366" s="24" t="str">
        <f aca="false">IF(E366&gt;=MUS_Parametros!$B$12,"SIM","NÃO")</f>
        <v>NÃO</v>
      </c>
      <c r="G366" s="18" t="n">
        <v>259749.46</v>
      </c>
      <c r="H366" s="21" t="n">
        <f aca="false">E366-G366</f>
        <v>0</v>
      </c>
      <c r="I366" s="25" t="n">
        <f aca="false">IF(F366="SIM","",H366/E366)</f>
        <v>0</v>
      </c>
    </row>
    <row r="367" customFormat="false" ht="15" hidden="false" customHeight="false" outlineLevel="0" collapsed="false">
      <c r="A367" s="7" t="s">
        <v>695</v>
      </c>
      <c r="B367" s="7" t="s">
        <v>198</v>
      </c>
      <c r="C367" s="7" t="s">
        <v>280</v>
      </c>
      <c r="D367" s="7" t="s">
        <v>273</v>
      </c>
      <c r="E367" s="18" t="n">
        <v>128577.85</v>
      </c>
      <c r="F367" s="24" t="str">
        <f aca="false">IF(E367&gt;=MUS_Parametros!$B$12,"SIM","NÃO")</f>
        <v>NÃO</v>
      </c>
      <c r="G367" s="18" t="n">
        <v>128577.85</v>
      </c>
      <c r="H367" s="21" t="n">
        <f aca="false">E367-G367</f>
        <v>0</v>
      </c>
      <c r="I367" s="25" t="n">
        <f aca="false">IF(F367="SIM","",H367/E367)</f>
        <v>0</v>
      </c>
    </row>
    <row r="368" customFormat="false" ht="15" hidden="false" customHeight="false" outlineLevel="0" collapsed="false">
      <c r="A368" s="7" t="s">
        <v>696</v>
      </c>
      <c r="B368" s="7" t="s">
        <v>198</v>
      </c>
      <c r="C368" s="7" t="s">
        <v>287</v>
      </c>
      <c r="D368" s="7" t="s">
        <v>273</v>
      </c>
      <c r="E368" s="18" t="n">
        <v>3086598.96</v>
      </c>
      <c r="F368" s="24" t="str">
        <f aca="false">IF(E368&gt;=MUS_Parametros!$B$12,"SIM","NÃO")</f>
        <v>NÃO</v>
      </c>
      <c r="G368" s="18" t="n">
        <v>3086598.96</v>
      </c>
      <c r="H368" s="21" t="n">
        <f aca="false">E368-G368</f>
        <v>0</v>
      </c>
      <c r="I368" s="25" t="n">
        <f aca="false">IF(F368="SIM","",H368/E368)</f>
        <v>0</v>
      </c>
    </row>
    <row r="369" customFormat="false" ht="15" hidden="false" customHeight="false" outlineLevel="0" collapsed="false">
      <c r="A369" s="7" t="s">
        <v>697</v>
      </c>
      <c r="B369" s="7" t="s">
        <v>198</v>
      </c>
      <c r="C369" s="7" t="s">
        <v>280</v>
      </c>
      <c r="D369" s="7" t="s">
        <v>273</v>
      </c>
      <c r="E369" s="18" t="n">
        <v>40031.75</v>
      </c>
      <c r="F369" s="24" t="str">
        <f aca="false">IF(E369&gt;=MUS_Parametros!$B$12,"SIM","NÃO")</f>
        <v>NÃO</v>
      </c>
      <c r="G369" s="18" t="n">
        <v>40031.75</v>
      </c>
      <c r="H369" s="21" t="n">
        <f aca="false">E369-G369</f>
        <v>0</v>
      </c>
      <c r="I369" s="25" t="n">
        <f aca="false">IF(F369="SIM","",H369/E369)</f>
        <v>0</v>
      </c>
    </row>
    <row r="370" customFormat="false" ht="15" hidden="false" customHeight="false" outlineLevel="0" collapsed="false">
      <c r="A370" s="7" t="s">
        <v>698</v>
      </c>
      <c r="B370" s="7" t="s">
        <v>198</v>
      </c>
      <c r="C370" s="7" t="s">
        <v>272</v>
      </c>
      <c r="D370" s="7" t="s">
        <v>273</v>
      </c>
      <c r="E370" s="18" t="n">
        <v>431071.29</v>
      </c>
      <c r="F370" s="24" t="str">
        <f aca="false">IF(E370&gt;=MUS_Parametros!$B$12,"SIM","NÃO")</f>
        <v>NÃO</v>
      </c>
      <c r="G370" s="18" t="n">
        <v>431071.29</v>
      </c>
      <c r="H370" s="21" t="n">
        <f aca="false">E370-G370</f>
        <v>0</v>
      </c>
      <c r="I370" s="25" t="n">
        <f aca="false">IF(F370="SIM","",H370/E370)</f>
        <v>0</v>
      </c>
    </row>
    <row r="371" customFormat="false" ht="15" hidden="false" customHeight="false" outlineLevel="0" collapsed="false">
      <c r="A371" s="7" t="s">
        <v>699</v>
      </c>
      <c r="B371" s="7" t="s">
        <v>198</v>
      </c>
      <c r="C371" s="7" t="s">
        <v>280</v>
      </c>
      <c r="D371" s="7" t="s">
        <v>273</v>
      </c>
      <c r="E371" s="18" t="n">
        <v>52755.87</v>
      </c>
      <c r="F371" s="24" t="str">
        <f aca="false">IF(E371&gt;=MUS_Parametros!$B$12,"SIM","NÃO")</f>
        <v>NÃO</v>
      </c>
      <c r="G371" s="18" t="n">
        <v>52755.87</v>
      </c>
      <c r="H371" s="21" t="n">
        <f aca="false">E371-G371</f>
        <v>0</v>
      </c>
      <c r="I371" s="25" t="n">
        <f aca="false">IF(F371="SIM","",H371/E371)</f>
        <v>0</v>
      </c>
    </row>
    <row r="372" customFormat="false" ht="15" hidden="false" customHeight="false" outlineLevel="0" collapsed="false">
      <c r="A372" s="7" t="s">
        <v>700</v>
      </c>
      <c r="B372" s="7" t="s">
        <v>200</v>
      </c>
      <c r="C372" s="7" t="s">
        <v>701</v>
      </c>
      <c r="D372" s="7" t="s">
        <v>273</v>
      </c>
      <c r="E372" s="18" t="n">
        <v>54947557.15</v>
      </c>
      <c r="F372" s="24" t="str">
        <f aca="false">IF(E372&gt;=MUS_Parametros!$B$12,"SIM","NÃO")</f>
        <v>SIM</v>
      </c>
      <c r="G372" s="18" t="n">
        <v>54947557.15</v>
      </c>
      <c r="H372" s="21" t="n">
        <f aca="false">E372-G372</f>
        <v>0</v>
      </c>
      <c r="I372" s="25" t="str">
        <f aca="false">IF(F372="SIM","",H372/E372)</f>
        <v/>
      </c>
    </row>
    <row r="373" customFormat="false" ht="15" hidden="false" customHeight="false" outlineLevel="0" collapsed="false">
      <c r="A373" s="7" t="s">
        <v>702</v>
      </c>
      <c r="B373" s="7" t="s">
        <v>198</v>
      </c>
      <c r="C373" s="7" t="s">
        <v>280</v>
      </c>
      <c r="D373" s="7" t="s">
        <v>273</v>
      </c>
      <c r="E373" s="18" t="n">
        <v>122977.69</v>
      </c>
      <c r="F373" s="24" t="str">
        <f aca="false">IF(E373&gt;=MUS_Parametros!$B$12,"SIM","NÃO")</f>
        <v>NÃO</v>
      </c>
      <c r="G373" s="18" t="n">
        <v>122977.69</v>
      </c>
      <c r="H373" s="21" t="n">
        <f aca="false">E373-G373</f>
        <v>0</v>
      </c>
      <c r="I373" s="25" t="n">
        <f aca="false">IF(F373="SIM","",H373/E373)</f>
        <v>0</v>
      </c>
    </row>
    <row r="374" customFormat="false" ht="15" hidden="false" customHeight="false" outlineLevel="0" collapsed="false">
      <c r="A374" s="7" t="s">
        <v>703</v>
      </c>
      <c r="B374" s="7" t="s">
        <v>198</v>
      </c>
      <c r="C374" s="7" t="s">
        <v>280</v>
      </c>
      <c r="D374" s="7" t="s">
        <v>273</v>
      </c>
      <c r="E374" s="18" t="n">
        <v>20904.43</v>
      </c>
      <c r="F374" s="24" t="str">
        <f aca="false">IF(E374&gt;=MUS_Parametros!$B$12,"SIM","NÃO")</f>
        <v>NÃO</v>
      </c>
      <c r="G374" s="18" t="n">
        <v>20904.43</v>
      </c>
      <c r="H374" s="21" t="n">
        <f aca="false">E374-G374</f>
        <v>0</v>
      </c>
      <c r="I374" s="25" t="n">
        <f aca="false">IF(F374="SIM","",H374/E374)</f>
        <v>0</v>
      </c>
    </row>
    <row r="375" customFormat="false" ht="15" hidden="false" customHeight="false" outlineLevel="0" collapsed="false">
      <c r="A375" s="7" t="s">
        <v>704</v>
      </c>
      <c r="B375" s="7" t="s">
        <v>198</v>
      </c>
      <c r="C375" s="7" t="s">
        <v>287</v>
      </c>
      <c r="D375" s="7" t="s">
        <v>273</v>
      </c>
      <c r="E375" s="18" t="n">
        <v>929462.71</v>
      </c>
      <c r="F375" s="24" t="str">
        <f aca="false">IF(E375&gt;=MUS_Parametros!$B$12,"SIM","NÃO")</f>
        <v>NÃO</v>
      </c>
      <c r="G375" s="18" t="n">
        <v>929462.71</v>
      </c>
      <c r="H375" s="21" t="n">
        <f aca="false">E375-G375</f>
        <v>0</v>
      </c>
      <c r="I375" s="25" t="n">
        <f aca="false">IF(F375="SIM","",H375/E375)</f>
        <v>0</v>
      </c>
    </row>
    <row r="376" customFormat="false" ht="15" hidden="false" customHeight="false" outlineLevel="0" collapsed="false">
      <c r="A376" s="7" t="s">
        <v>705</v>
      </c>
      <c r="B376" s="7" t="s">
        <v>200</v>
      </c>
      <c r="C376" s="7" t="s">
        <v>706</v>
      </c>
      <c r="D376" s="7" t="s">
        <v>273</v>
      </c>
      <c r="E376" s="18" t="n">
        <v>39063058.98</v>
      </c>
      <c r="F376" s="24" t="str">
        <f aca="false">IF(E376&gt;=MUS_Parametros!$B$12,"SIM","NÃO")</f>
        <v>SIM</v>
      </c>
      <c r="G376" s="18" t="n">
        <v>39063058.98</v>
      </c>
      <c r="H376" s="21" t="n">
        <f aca="false">E376-G376</f>
        <v>0</v>
      </c>
      <c r="I376" s="25" t="str">
        <f aca="false">IF(F376="SIM","",H376/E376)</f>
        <v/>
      </c>
    </row>
    <row r="377" customFormat="false" ht="15" hidden="false" customHeight="false" outlineLevel="0" collapsed="false">
      <c r="A377" s="7" t="s">
        <v>707</v>
      </c>
      <c r="B377" s="7" t="s">
        <v>198</v>
      </c>
      <c r="C377" s="7" t="s">
        <v>272</v>
      </c>
      <c r="D377" s="7" t="s">
        <v>273</v>
      </c>
      <c r="E377" s="18" t="n">
        <v>1701840.43</v>
      </c>
      <c r="F377" s="24" t="str">
        <f aca="false">IF(E377&gt;=MUS_Parametros!$B$12,"SIM","NÃO")</f>
        <v>NÃO</v>
      </c>
      <c r="G377" s="18" t="n">
        <v>1701840.43</v>
      </c>
      <c r="H377" s="21" t="n">
        <f aca="false">E377-G377</f>
        <v>0</v>
      </c>
      <c r="I377" s="25" t="n">
        <f aca="false">IF(F377="SIM","",H377/E377)</f>
        <v>0</v>
      </c>
    </row>
    <row r="378" customFormat="false" ht="15" hidden="false" customHeight="false" outlineLevel="0" collapsed="false">
      <c r="A378" s="7" t="s">
        <v>708</v>
      </c>
      <c r="B378" s="7" t="s">
        <v>198</v>
      </c>
      <c r="C378" s="7" t="s">
        <v>280</v>
      </c>
      <c r="D378" s="7" t="s">
        <v>273</v>
      </c>
      <c r="E378" s="18" t="n">
        <v>64843.87</v>
      </c>
      <c r="F378" s="24" t="str">
        <f aca="false">IF(E378&gt;=MUS_Parametros!$B$12,"SIM","NÃO")</f>
        <v>NÃO</v>
      </c>
      <c r="G378" s="18" t="n">
        <v>64843.87</v>
      </c>
      <c r="H378" s="21" t="n">
        <f aca="false">E378-G378</f>
        <v>0</v>
      </c>
      <c r="I378" s="25" t="n">
        <f aca="false">IF(F378="SIM","",H378/E378)</f>
        <v>0</v>
      </c>
    </row>
    <row r="379" customFormat="false" ht="15" hidden="false" customHeight="false" outlineLevel="0" collapsed="false">
      <c r="A379" s="7" t="s">
        <v>709</v>
      </c>
      <c r="B379" s="7" t="s">
        <v>198</v>
      </c>
      <c r="C379" s="7" t="s">
        <v>272</v>
      </c>
      <c r="D379" s="7" t="s">
        <v>273</v>
      </c>
      <c r="E379" s="18" t="n">
        <v>1425750.13</v>
      </c>
      <c r="F379" s="24" t="str">
        <f aca="false">IF(E379&gt;=MUS_Parametros!$B$12,"SIM","NÃO")</f>
        <v>NÃO</v>
      </c>
      <c r="G379" s="18" t="n">
        <v>1425750.13</v>
      </c>
      <c r="H379" s="21" t="n">
        <f aca="false">E379-G379</f>
        <v>0</v>
      </c>
      <c r="I379" s="25" t="n">
        <f aca="false">IF(F379="SIM","",H379/E379)</f>
        <v>0</v>
      </c>
    </row>
    <row r="380" customFormat="false" ht="15" hidden="false" customHeight="false" outlineLevel="0" collapsed="false">
      <c r="A380" s="7" t="s">
        <v>710</v>
      </c>
      <c r="B380" s="7" t="s">
        <v>198</v>
      </c>
      <c r="C380" s="7" t="s">
        <v>285</v>
      </c>
      <c r="D380" s="7" t="s">
        <v>273</v>
      </c>
      <c r="E380" s="18" t="n">
        <v>19533.23</v>
      </c>
      <c r="F380" s="24" t="str">
        <f aca="false">IF(E380&gt;=MUS_Parametros!$B$12,"SIM","NÃO")</f>
        <v>NÃO</v>
      </c>
      <c r="G380" s="18" t="n">
        <v>19533.23</v>
      </c>
      <c r="H380" s="21" t="n">
        <f aca="false">E380-G380</f>
        <v>0</v>
      </c>
      <c r="I380" s="25" t="n">
        <f aca="false">IF(F380="SIM","",H380/E380)</f>
        <v>0</v>
      </c>
    </row>
    <row r="381" customFormat="false" ht="15" hidden="false" customHeight="false" outlineLevel="0" collapsed="false">
      <c r="A381" s="7" t="s">
        <v>711</v>
      </c>
      <c r="B381" s="7" t="s">
        <v>198</v>
      </c>
      <c r="C381" s="7" t="s">
        <v>287</v>
      </c>
      <c r="D381" s="7" t="s">
        <v>273</v>
      </c>
      <c r="E381" s="18" t="n">
        <v>411203.94</v>
      </c>
      <c r="F381" s="24" t="str">
        <f aca="false">IF(E381&gt;=MUS_Parametros!$B$12,"SIM","NÃO")</f>
        <v>NÃO</v>
      </c>
      <c r="G381" s="18" t="n">
        <v>411203.94</v>
      </c>
      <c r="H381" s="21" t="n">
        <f aca="false">E381-G381</f>
        <v>0</v>
      </c>
      <c r="I381" s="25" t="n">
        <f aca="false">IF(F381="SIM","",H381/E381)</f>
        <v>0</v>
      </c>
    </row>
    <row r="382" customFormat="false" ht="15" hidden="false" customHeight="false" outlineLevel="0" collapsed="false">
      <c r="A382" s="7" t="s">
        <v>712</v>
      </c>
      <c r="B382" s="7" t="s">
        <v>198</v>
      </c>
      <c r="C382" s="7" t="s">
        <v>287</v>
      </c>
      <c r="D382" s="7" t="s">
        <v>273</v>
      </c>
      <c r="E382" s="18" t="n">
        <v>2062106.06</v>
      </c>
      <c r="F382" s="24" t="str">
        <f aca="false">IF(E382&gt;=MUS_Parametros!$B$12,"SIM","NÃO")</f>
        <v>NÃO</v>
      </c>
      <c r="G382" s="18" t="n">
        <v>2062106.06</v>
      </c>
      <c r="H382" s="21" t="n">
        <f aca="false">E382-G382</f>
        <v>0</v>
      </c>
      <c r="I382" s="25" t="n">
        <f aca="false">IF(F382="SIM","",H382/E382)</f>
        <v>0</v>
      </c>
    </row>
    <row r="383" customFormat="false" ht="15" hidden="false" customHeight="false" outlineLevel="0" collapsed="false">
      <c r="A383" s="7" t="s">
        <v>713</v>
      </c>
      <c r="B383" s="7" t="s">
        <v>198</v>
      </c>
      <c r="C383" s="7" t="s">
        <v>272</v>
      </c>
      <c r="D383" s="7" t="s">
        <v>273</v>
      </c>
      <c r="E383" s="18" t="n">
        <v>1456530.54</v>
      </c>
      <c r="F383" s="24" t="str">
        <f aca="false">IF(E383&gt;=MUS_Parametros!$B$12,"SIM","NÃO")</f>
        <v>NÃO</v>
      </c>
      <c r="G383" s="18" t="n">
        <v>1456530.54</v>
      </c>
      <c r="H383" s="21" t="n">
        <f aca="false">E383-G383</f>
        <v>0</v>
      </c>
      <c r="I383" s="25" t="n">
        <f aca="false">IF(F383="SIM","",H383/E383)</f>
        <v>0</v>
      </c>
    </row>
    <row r="384" customFormat="false" ht="15" hidden="false" customHeight="false" outlineLevel="0" collapsed="false">
      <c r="A384" s="7" t="s">
        <v>714</v>
      </c>
      <c r="B384" s="7" t="s">
        <v>210</v>
      </c>
      <c r="C384" s="7" t="s">
        <v>715</v>
      </c>
      <c r="D384" s="7" t="s">
        <v>273</v>
      </c>
      <c r="E384" s="18" t="n">
        <v>96346416.24</v>
      </c>
      <c r="F384" s="24" t="str">
        <f aca="false">IF(E384&gt;=MUS_Parametros!$B$12,"SIM","NÃO")</f>
        <v>SIM</v>
      </c>
      <c r="G384" s="18" t="n">
        <v>96346416.24</v>
      </c>
      <c r="H384" s="21" t="n">
        <f aca="false">E384-G384</f>
        <v>0</v>
      </c>
      <c r="I384" s="25" t="str">
        <f aca="false">IF(F384="SIM","",H384/E384)</f>
        <v/>
      </c>
    </row>
    <row r="385" customFormat="false" ht="15" hidden="false" customHeight="false" outlineLevel="0" collapsed="false">
      <c r="A385" s="7" t="s">
        <v>716</v>
      </c>
      <c r="B385" s="7" t="s">
        <v>198</v>
      </c>
      <c r="C385" s="7" t="s">
        <v>287</v>
      </c>
      <c r="D385" s="7" t="s">
        <v>273</v>
      </c>
      <c r="E385" s="18" t="n">
        <v>530631.19</v>
      </c>
      <c r="F385" s="24" t="str">
        <f aca="false">IF(E385&gt;=MUS_Parametros!$B$12,"SIM","NÃO")</f>
        <v>NÃO</v>
      </c>
      <c r="G385" s="18" t="n">
        <v>530631.19</v>
      </c>
      <c r="H385" s="21" t="n">
        <f aca="false">E385-G385</f>
        <v>0</v>
      </c>
      <c r="I385" s="25" t="n">
        <f aca="false">IF(F385="SIM","",H385/E385)</f>
        <v>0</v>
      </c>
    </row>
    <row r="386" customFormat="false" ht="15" hidden="false" customHeight="false" outlineLevel="0" collapsed="false">
      <c r="A386" s="7" t="s">
        <v>717</v>
      </c>
      <c r="B386" s="7" t="s">
        <v>198</v>
      </c>
      <c r="C386" s="7" t="s">
        <v>272</v>
      </c>
      <c r="D386" s="7" t="s">
        <v>273</v>
      </c>
      <c r="E386" s="18" t="n">
        <v>2142334.1</v>
      </c>
      <c r="F386" s="24" t="str">
        <f aca="false">IF(E386&gt;=MUS_Parametros!$B$12,"SIM","NÃO")</f>
        <v>NÃO</v>
      </c>
      <c r="G386" s="18" t="n">
        <v>2142334.1</v>
      </c>
      <c r="H386" s="21" t="n">
        <f aca="false">E386-G386</f>
        <v>0</v>
      </c>
      <c r="I386" s="25" t="n">
        <f aca="false">IF(F386="SIM","",H386/E386)</f>
        <v>0</v>
      </c>
    </row>
    <row r="387" customFormat="false" ht="15" hidden="false" customHeight="false" outlineLevel="0" collapsed="false">
      <c r="A387" s="7" t="s">
        <v>718</v>
      </c>
      <c r="B387" s="7" t="s">
        <v>198</v>
      </c>
      <c r="C387" s="7" t="s">
        <v>272</v>
      </c>
      <c r="D387" s="7" t="s">
        <v>273</v>
      </c>
      <c r="E387" s="18" t="n">
        <v>1292042.56</v>
      </c>
      <c r="F387" s="24" t="str">
        <f aca="false">IF(E387&gt;=MUS_Parametros!$B$12,"SIM","NÃO")</f>
        <v>NÃO</v>
      </c>
      <c r="G387" s="18" t="n">
        <v>1292042.56</v>
      </c>
      <c r="H387" s="21" t="n">
        <f aca="false">E387-G387</f>
        <v>0</v>
      </c>
      <c r="I387" s="25" t="n">
        <f aca="false">IF(F387="SIM","",H387/E387)</f>
        <v>0</v>
      </c>
    </row>
    <row r="388" customFormat="false" ht="15" hidden="false" customHeight="false" outlineLevel="0" collapsed="false">
      <c r="A388" s="7" t="s">
        <v>719</v>
      </c>
      <c r="B388" s="7" t="s">
        <v>198</v>
      </c>
      <c r="C388" s="7" t="s">
        <v>523</v>
      </c>
      <c r="D388" s="7" t="s">
        <v>273</v>
      </c>
      <c r="E388" s="18" t="n">
        <v>356.24</v>
      </c>
      <c r="F388" s="24" t="str">
        <f aca="false">IF(E388&gt;=MUS_Parametros!$B$12,"SIM","NÃO")</f>
        <v>NÃO</v>
      </c>
      <c r="G388" s="18" t="n">
        <v>356.24</v>
      </c>
      <c r="H388" s="21" t="n">
        <f aca="false">E388-G388</f>
        <v>0</v>
      </c>
      <c r="I388" s="25" t="n">
        <f aca="false">IF(F388="SIM","",H388/E388)</f>
        <v>0</v>
      </c>
    </row>
    <row r="389" customFormat="false" ht="15" hidden="false" customHeight="false" outlineLevel="0" collapsed="false">
      <c r="A389" s="7" t="s">
        <v>720</v>
      </c>
      <c r="B389" s="7" t="s">
        <v>198</v>
      </c>
      <c r="C389" s="7" t="s">
        <v>272</v>
      </c>
      <c r="D389" s="7" t="s">
        <v>273</v>
      </c>
      <c r="E389" s="18" t="n">
        <v>4371314.49</v>
      </c>
      <c r="F389" s="24" t="str">
        <f aca="false">IF(E389&gt;=MUS_Parametros!$B$12,"SIM","NÃO")</f>
        <v>NÃO</v>
      </c>
      <c r="G389" s="18" t="n">
        <v>4371314.49</v>
      </c>
      <c r="H389" s="21" t="n">
        <f aca="false">E389-G389</f>
        <v>0</v>
      </c>
      <c r="I389" s="25" t="n">
        <f aca="false">IF(F389="SIM","",H389/E389)</f>
        <v>0</v>
      </c>
    </row>
    <row r="390" customFormat="false" ht="15" hidden="false" customHeight="false" outlineLevel="0" collapsed="false">
      <c r="A390" s="7" t="s">
        <v>721</v>
      </c>
      <c r="B390" s="7" t="s">
        <v>198</v>
      </c>
      <c r="C390" s="7" t="s">
        <v>287</v>
      </c>
      <c r="D390" s="7" t="s">
        <v>273</v>
      </c>
      <c r="E390" s="18" t="n">
        <v>2583735.34</v>
      </c>
      <c r="F390" s="24" t="str">
        <f aca="false">IF(E390&gt;=MUS_Parametros!$B$12,"SIM","NÃO")</f>
        <v>NÃO</v>
      </c>
      <c r="G390" s="18" t="n">
        <v>2583735.34</v>
      </c>
      <c r="H390" s="21" t="n">
        <f aca="false">E390-G390</f>
        <v>0</v>
      </c>
      <c r="I390" s="25" t="n">
        <f aca="false">IF(F390="SIM","",H390/E390)</f>
        <v>0</v>
      </c>
    </row>
    <row r="391" customFormat="false" ht="15" hidden="false" customHeight="false" outlineLevel="0" collapsed="false">
      <c r="A391" s="7" t="s">
        <v>722</v>
      </c>
      <c r="B391" s="7" t="s">
        <v>208</v>
      </c>
      <c r="C391" s="7" t="s">
        <v>723</v>
      </c>
      <c r="D391" s="7" t="s">
        <v>273</v>
      </c>
      <c r="E391" s="18" t="n">
        <v>79778500</v>
      </c>
      <c r="F391" s="24" t="str">
        <f aca="false">IF(E391&gt;=MUS_Parametros!$B$12,"SIM","NÃO")</f>
        <v>SIM</v>
      </c>
      <c r="G391" s="18" t="n">
        <v>79778500</v>
      </c>
      <c r="H391" s="21" t="n">
        <f aca="false">E391-G391</f>
        <v>0</v>
      </c>
      <c r="I391" s="25" t="str">
        <f aca="false">IF(F391="SIM","",H391/E391)</f>
        <v/>
      </c>
    </row>
    <row r="392" customFormat="false" ht="15" hidden="false" customHeight="false" outlineLevel="0" collapsed="false">
      <c r="A392" s="7" t="s">
        <v>724</v>
      </c>
      <c r="B392" s="7" t="s">
        <v>198</v>
      </c>
      <c r="C392" s="7" t="s">
        <v>280</v>
      </c>
      <c r="D392" s="7" t="s">
        <v>273</v>
      </c>
      <c r="E392" s="18" t="n">
        <v>95811.64</v>
      </c>
      <c r="F392" s="24" t="str">
        <f aca="false">IF(E392&gt;=MUS_Parametros!$B$12,"SIM","NÃO")</f>
        <v>NÃO</v>
      </c>
      <c r="G392" s="18" t="n">
        <v>95811.64</v>
      </c>
      <c r="H392" s="21" t="n">
        <f aca="false">E392-G392</f>
        <v>0</v>
      </c>
      <c r="I392" s="25" t="n">
        <f aca="false">IF(F392="SIM","",H392/E392)</f>
        <v>0</v>
      </c>
    </row>
    <row r="393" customFormat="false" ht="15" hidden="false" customHeight="false" outlineLevel="0" collapsed="false">
      <c r="A393" s="7" t="s">
        <v>725</v>
      </c>
      <c r="B393" s="7" t="s">
        <v>198</v>
      </c>
      <c r="C393" s="7" t="s">
        <v>287</v>
      </c>
      <c r="D393" s="7" t="s">
        <v>273</v>
      </c>
      <c r="E393" s="18" t="n">
        <v>1673260.09</v>
      </c>
      <c r="F393" s="24" t="str">
        <f aca="false">IF(E393&gt;=MUS_Parametros!$B$12,"SIM","NÃO")</f>
        <v>NÃO</v>
      </c>
      <c r="G393" s="18" t="n">
        <v>1673260.09</v>
      </c>
      <c r="H393" s="21" t="n">
        <f aca="false">E393-G393</f>
        <v>0</v>
      </c>
      <c r="I393" s="25" t="n">
        <f aca="false">IF(F393="SIM","",H393/E393)</f>
        <v>0</v>
      </c>
    </row>
    <row r="394" customFormat="false" ht="15" hidden="false" customHeight="false" outlineLevel="0" collapsed="false">
      <c r="A394" s="7" t="s">
        <v>726</v>
      </c>
      <c r="B394" s="7" t="s">
        <v>198</v>
      </c>
      <c r="C394" s="7" t="s">
        <v>272</v>
      </c>
      <c r="D394" s="7" t="s">
        <v>273</v>
      </c>
      <c r="E394" s="18" t="n">
        <v>1723141.47</v>
      </c>
      <c r="F394" s="24" t="str">
        <f aca="false">IF(E394&gt;=MUS_Parametros!$B$12,"SIM","NÃO")</f>
        <v>NÃO</v>
      </c>
      <c r="G394" s="18" t="n">
        <v>1723141.47</v>
      </c>
      <c r="H394" s="21" t="n">
        <f aca="false">E394-G394</f>
        <v>0</v>
      </c>
      <c r="I394" s="25" t="n">
        <f aca="false">IF(F394="SIM","",H394/E394)</f>
        <v>0</v>
      </c>
    </row>
    <row r="395" customFormat="false" ht="15" hidden="false" customHeight="false" outlineLevel="0" collapsed="false">
      <c r="A395" s="7" t="s">
        <v>727</v>
      </c>
      <c r="B395" s="7" t="s">
        <v>198</v>
      </c>
      <c r="C395" s="7" t="s">
        <v>272</v>
      </c>
      <c r="D395" s="7" t="s">
        <v>273</v>
      </c>
      <c r="E395" s="18" t="n">
        <v>1383423.8</v>
      </c>
      <c r="F395" s="24" t="str">
        <f aca="false">IF(E395&gt;=MUS_Parametros!$B$12,"SIM","NÃO")</f>
        <v>NÃO</v>
      </c>
      <c r="G395" s="18" t="n">
        <v>1383423.8</v>
      </c>
      <c r="H395" s="21" t="n">
        <f aca="false">E395-G395</f>
        <v>0</v>
      </c>
      <c r="I395" s="25" t="n">
        <f aca="false">IF(F395="SIM","",H395/E395)</f>
        <v>0</v>
      </c>
    </row>
    <row r="396" customFormat="false" ht="15" hidden="false" customHeight="false" outlineLevel="0" collapsed="false">
      <c r="A396" s="7" t="s">
        <v>728</v>
      </c>
      <c r="B396" s="7" t="s">
        <v>198</v>
      </c>
      <c r="C396" s="7" t="s">
        <v>280</v>
      </c>
      <c r="D396" s="7" t="s">
        <v>273</v>
      </c>
      <c r="E396" s="18" t="n">
        <v>64984.97</v>
      </c>
      <c r="F396" s="24" t="str">
        <f aca="false">IF(E396&gt;=MUS_Parametros!$B$12,"SIM","NÃO")</f>
        <v>NÃO</v>
      </c>
      <c r="G396" s="18" t="n">
        <v>64984.97</v>
      </c>
      <c r="H396" s="21" t="n">
        <f aca="false">E396-G396</f>
        <v>0</v>
      </c>
      <c r="I396" s="25" t="n">
        <f aca="false">IF(F396="SIM","",H396/E396)</f>
        <v>0</v>
      </c>
    </row>
    <row r="397" customFormat="false" ht="15" hidden="false" customHeight="false" outlineLevel="0" collapsed="false">
      <c r="A397" s="7" t="s">
        <v>729</v>
      </c>
      <c r="B397" s="7" t="s">
        <v>200</v>
      </c>
      <c r="C397" s="7" t="s">
        <v>730</v>
      </c>
      <c r="D397" s="7" t="s">
        <v>273</v>
      </c>
      <c r="E397" s="18" t="n">
        <v>22733136.69</v>
      </c>
      <c r="F397" s="24" t="str">
        <f aca="false">IF(E397&gt;=MUS_Parametros!$B$12,"SIM","NÃO")</f>
        <v>NÃO</v>
      </c>
      <c r="G397" s="18" t="n">
        <v>22733136.69</v>
      </c>
      <c r="H397" s="21" t="n">
        <f aca="false">E397-G397</f>
        <v>0</v>
      </c>
      <c r="I397" s="25" t="n">
        <f aca="false">IF(F397="SIM","",H397/E397)</f>
        <v>0</v>
      </c>
    </row>
    <row r="398" customFormat="false" ht="15" hidden="false" customHeight="false" outlineLevel="0" collapsed="false">
      <c r="A398" s="7" t="s">
        <v>731</v>
      </c>
      <c r="B398" s="7" t="s">
        <v>198</v>
      </c>
      <c r="C398" s="7" t="s">
        <v>402</v>
      </c>
      <c r="D398" s="7" t="s">
        <v>273</v>
      </c>
      <c r="E398" s="18" t="n">
        <v>864</v>
      </c>
      <c r="F398" s="24" t="str">
        <f aca="false">IF(E398&gt;=MUS_Parametros!$B$12,"SIM","NÃO")</f>
        <v>NÃO</v>
      </c>
      <c r="G398" s="18" t="n">
        <v>864</v>
      </c>
      <c r="H398" s="21" t="n">
        <f aca="false">E398-G398</f>
        <v>0</v>
      </c>
      <c r="I398" s="25" t="n">
        <f aca="false">IF(F398="SIM","",H398/E398)</f>
        <v>0</v>
      </c>
    </row>
    <row r="399" customFormat="false" ht="15" hidden="false" customHeight="false" outlineLevel="0" collapsed="false">
      <c r="A399" s="7" t="s">
        <v>732</v>
      </c>
      <c r="B399" s="7" t="s">
        <v>198</v>
      </c>
      <c r="C399" s="7" t="s">
        <v>493</v>
      </c>
      <c r="D399" s="7" t="s">
        <v>273</v>
      </c>
      <c r="E399" s="18" t="n">
        <v>139309.95</v>
      </c>
      <c r="F399" s="24" t="str">
        <f aca="false">IF(E399&gt;=MUS_Parametros!$B$12,"SIM","NÃO")</f>
        <v>NÃO</v>
      </c>
      <c r="G399" s="18" t="n">
        <v>139309.95</v>
      </c>
      <c r="H399" s="21" t="n">
        <f aca="false">E399-G399</f>
        <v>0</v>
      </c>
      <c r="I399" s="25" t="n">
        <f aca="false">IF(F399="SIM","",H399/E399)</f>
        <v>0</v>
      </c>
    </row>
    <row r="400" customFormat="false" ht="15" hidden="false" customHeight="false" outlineLevel="0" collapsed="false">
      <c r="A400" s="7" t="s">
        <v>733</v>
      </c>
      <c r="B400" s="7" t="s">
        <v>198</v>
      </c>
      <c r="C400" s="7" t="s">
        <v>285</v>
      </c>
      <c r="D400" s="7" t="s">
        <v>273</v>
      </c>
      <c r="E400" s="18" t="n">
        <v>13375.37</v>
      </c>
      <c r="F400" s="24" t="str">
        <f aca="false">IF(E400&gt;=MUS_Parametros!$B$12,"SIM","NÃO")</f>
        <v>NÃO</v>
      </c>
      <c r="G400" s="18" t="n">
        <v>13375.37</v>
      </c>
      <c r="H400" s="21" t="n">
        <f aca="false">E400-G400</f>
        <v>0</v>
      </c>
      <c r="I400" s="25" t="n">
        <f aca="false">IF(F400="SIM","",H400/E400)</f>
        <v>0</v>
      </c>
    </row>
    <row r="401" customFormat="false" ht="15" hidden="false" customHeight="false" outlineLevel="0" collapsed="false">
      <c r="A401" s="7" t="s">
        <v>734</v>
      </c>
      <c r="B401" s="7" t="s">
        <v>198</v>
      </c>
      <c r="C401" s="7" t="s">
        <v>280</v>
      </c>
      <c r="D401" s="7" t="s">
        <v>273</v>
      </c>
      <c r="E401" s="18" t="n">
        <v>125636</v>
      </c>
      <c r="F401" s="24" t="str">
        <f aca="false">IF(E401&gt;=MUS_Parametros!$B$12,"SIM","NÃO")</f>
        <v>NÃO</v>
      </c>
      <c r="G401" s="18" t="n">
        <v>125636</v>
      </c>
      <c r="H401" s="21" t="n">
        <f aca="false">E401-G401</f>
        <v>0</v>
      </c>
      <c r="I401" s="25" t="n">
        <f aca="false">IF(F401="SIM","",H401/E401)</f>
        <v>0</v>
      </c>
    </row>
    <row r="402" customFormat="false" ht="15" hidden="false" customHeight="false" outlineLevel="0" collapsed="false">
      <c r="A402" s="7" t="s">
        <v>735</v>
      </c>
      <c r="B402" s="7" t="s">
        <v>198</v>
      </c>
      <c r="C402" s="7" t="s">
        <v>287</v>
      </c>
      <c r="D402" s="7" t="s">
        <v>273</v>
      </c>
      <c r="E402" s="18" t="n">
        <v>3296743.45</v>
      </c>
      <c r="F402" s="24" t="str">
        <f aca="false">IF(E402&gt;=MUS_Parametros!$B$12,"SIM","NÃO")</f>
        <v>NÃO</v>
      </c>
      <c r="G402" s="18" t="n">
        <v>3296743.45</v>
      </c>
      <c r="H402" s="21" t="n">
        <f aca="false">E402-G402</f>
        <v>0</v>
      </c>
      <c r="I402" s="25" t="n">
        <f aca="false">IF(F402="SIM","",H402/E402)</f>
        <v>0</v>
      </c>
    </row>
    <row r="403" customFormat="false" ht="15" hidden="false" customHeight="false" outlineLevel="0" collapsed="false">
      <c r="A403" s="7" t="s">
        <v>736</v>
      </c>
      <c r="B403" s="7" t="s">
        <v>198</v>
      </c>
      <c r="C403" s="7" t="s">
        <v>272</v>
      </c>
      <c r="D403" s="7" t="s">
        <v>273</v>
      </c>
      <c r="E403" s="18" t="n">
        <v>999206.35</v>
      </c>
      <c r="F403" s="24" t="str">
        <f aca="false">IF(E403&gt;=MUS_Parametros!$B$12,"SIM","NÃO")</f>
        <v>NÃO</v>
      </c>
      <c r="G403" s="18" t="n">
        <v>999206.35</v>
      </c>
      <c r="H403" s="21" t="n">
        <f aca="false">E403-G403</f>
        <v>0</v>
      </c>
      <c r="I403" s="25" t="n">
        <f aca="false">IF(F403="SIM","",H403/E403)</f>
        <v>0</v>
      </c>
    </row>
    <row r="404" customFormat="false" ht="15" hidden="false" customHeight="false" outlineLevel="0" collapsed="false">
      <c r="A404" s="7" t="s">
        <v>737</v>
      </c>
      <c r="B404" s="7" t="s">
        <v>210</v>
      </c>
      <c r="C404" s="7" t="s">
        <v>738</v>
      </c>
      <c r="D404" s="7" t="s">
        <v>273</v>
      </c>
      <c r="E404" s="18" t="n">
        <v>101253874.92</v>
      </c>
      <c r="F404" s="24" t="str">
        <f aca="false">IF(E404&gt;=MUS_Parametros!$B$12,"SIM","NÃO")</f>
        <v>SIM</v>
      </c>
      <c r="G404" s="18" t="n">
        <v>101253874.92</v>
      </c>
      <c r="H404" s="21" t="n">
        <f aca="false">E404-G404</f>
        <v>0</v>
      </c>
      <c r="I404" s="25" t="str">
        <f aca="false">IF(F404="SIM","",H404/E404)</f>
        <v/>
      </c>
    </row>
    <row r="405" customFormat="false" ht="15" hidden="false" customHeight="false" outlineLevel="0" collapsed="false">
      <c r="A405" s="7" t="s">
        <v>739</v>
      </c>
      <c r="B405" s="7" t="s">
        <v>198</v>
      </c>
      <c r="C405" s="7" t="s">
        <v>280</v>
      </c>
      <c r="D405" s="7" t="s">
        <v>273</v>
      </c>
      <c r="E405" s="18" t="n">
        <v>108386.43</v>
      </c>
      <c r="F405" s="24" t="str">
        <f aca="false">IF(E405&gt;=MUS_Parametros!$B$12,"SIM","NÃO")</f>
        <v>NÃO</v>
      </c>
      <c r="G405" s="18" t="n">
        <v>108386.43</v>
      </c>
      <c r="H405" s="21" t="n">
        <f aca="false">E405-G405</f>
        <v>0</v>
      </c>
      <c r="I405" s="25" t="n">
        <f aca="false">IF(F405="SIM","",H405/E405)</f>
        <v>0</v>
      </c>
    </row>
    <row r="406" customFormat="false" ht="15" hidden="false" customHeight="false" outlineLevel="0" collapsed="false">
      <c r="A406" s="7" t="s">
        <v>740</v>
      </c>
      <c r="B406" s="7" t="s">
        <v>198</v>
      </c>
      <c r="C406" s="7" t="s">
        <v>287</v>
      </c>
      <c r="D406" s="7" t="s">
        <v>273</v>
      </c>
      <c r="E406" s="18" t="n">
        <v>125249.35</v>
      </c>
      <c r="F406" s="24" t="str">
        <f aca="false">IF(E406&gt;=MUS_Parametros!$B$12,"SIM","NÃO")</f>
        <v>NÃO</v>
      </c>
      <c r="G406" s="18" t="n">
        <v>125249.35</v>
      </c>
      <c r="H406" s="21" t="n">
        <f aca="false">E406-G406</f>
        <v>0</v>
      </c>
      <c r="I406" s="25" t="n">
        <f aca="false">IF(F406="SIM","",H406/E406)</f>
        <v>0</v>
      </c>
    </row>
    <row r="407" customFormat="false" ht="15" hidden="false" customHeight="false" outlineLevel="0" collapsed="false">
      <c r="A407" s="7" t="s">
        <v>741</v>
      </c>
      <c r="B407" s="7" t="s">
        <v>198</v>
      </c>
      <c r="C407" s="7" t="s">
        <v>272</v>
      </c>
      <c r="D407" s="7" t="s">
        <v>273</v>
      </c>
      <c r="E407" s="18" t="n">
        <v>217604.88</v>
      </c>
      <c r="F407" s="24" t="str">
        <f aca="false">IF(E407&gt;=MUS_Parametros!$B$12,"SIM","NÃO")</f>
        <v>NÃO</v>
      </c>
      <c r="G407" s="18" t="n">
        <v>217604.88</v>
      </c>
      <c r="H407" s="21" t="n">
        <f aca="false">E407-G407</f>
        <v>0</v>
      </c>
      <c r="I407" s="25" t="n">
        <f aca="false">IF(F407="SIM","",H407/E407)</f>
        <v>0</v>
      </c>
    </row>
    <row r="408" customFormat="false" ht="15" hidden="false" customHeight="false" outlineLevel="0" collapsed="false">
      <c r="A408" s="7" t="s">
        <v>742</v>
      </c>
      <c r="B408" s="7" t="s">
        <v>198</v>
      </c>
      <c r="C408" s="7" t="s">
        <v>287</v>
      </c>
      <c r="D408" s="7" t="s">
        <v>273</v>
      </c>
      <c r="E408" s="18" t="n">
        <v>470142.24</v>
      </c>
      <c r="F408" s="24" t="str">
        <f aca="false">IF(E408&gt;=MUS_Parametros!$B$12,"SIM","NÃO")</f>
        <v>NÃO</v>
      </c>
      <c r="G408" s="18" t="n">
        <v>470142.24</v>
      </c>
      <c r="H408" s="21" t="n">
        <f aca="false">E408-G408</f>
        <v>0</v>
      </c>
      <c r="I408" s="25" t="n">
        <f aca="false">IF(F408="SIM","",H408/E408)</f>
        <v>0</v>
      </c>
    </row>
    <row r="409" customFormat="false" ht="15" hidden="false" customHeight="false" outlineLevel="0" collapsed="false">
      <c r="A409" s="7" t="s">
        <v>743</v>
      </c>
      <c r="B409" s="7" t="s">
        <v>198</v>
      </c>
      <c r="C409" s="7" t="s">
        <v>272</v>
      </c>
      <c r="D409" s="7" t="s">
        <v>273</v>
      </c>
      <c r="E409" s="18" t="n">
        <v>3459413.5</v>
      </c>
      <c r="F409" s="24" t="str">
        <f aca="false">IF(E409&gt;=MUS_Parametros!$B$12,"SIM","NÃO")</f>
        <v>NÃO</v>
      </c>
      <c r="G409" s="18" t="n">
        <v>3459413.5</v>
      </c>
      <c r="H409" s="21" t="n">
        <f aca="false">E409-G409</f>
        <v>0</v>
      </c>
      <c r="I409" s="25" t="n">
        <f aca="false">IF(F409="SIM","",H409/E409)</f>
        <v>0</v>
      </c>
    </row>
    <row r="410" customFormat="false" ht="15" hidden="false" customHeight="false" outlineLevel="0" collapsed="false">
      <c r="A410" s="7" t="s">
        <v>744</v>
      </c>
      <c r="B410" s="7" t="s">
        <v>198</v>
      </c>
      <c r="C410" s="7" t="s">
        <v>272</v>
      </c>
      <c r="D410" s="7" t="s">
        <v>273</v>
      </c>
      <c r="E410" s="18" t="n">
        <v>2895925.12</v>
      </c>
      <c r="F410" s="24" t="str">
        <f aca="false">IF(E410&gt;=MUS_Parametros!$B$12,"SIM","NÃO")</f>
        <v>NÃO</v>
      </c>
      <c r="G410" s="18" t="n">
        <v>2895925.12</v>
      </c>
      <c r="H410" s="21" t="n">
        <f aca="false">E410-G410</f>
        <v>0</v>
      </c>
      <c r="I410" s="25" t="n">
        <f aca="false">IF(F410="SIM","",H410/E410)</f>
        <v>0</v>
      </c>
    </row>
    <row r="411" customFormat="false" ht="15" hidden="false" customHeight="false" outlineLevel="0" collapsed="false">
      <c r="A411" s="7" t="s">
        <v>745</v>
      </c>
      <c r="B411" s="7" t="s">
        <v>198</v>
      </c>
      <c r="C411" s="7" t="s">
        <v>272</v>
      </c>
      <c r="D411" s="7" t="s">
        <v>273</v>
      </c>
      <c r="E411" s="18" t="n">
        <v>395740.25</v>
      </c>
      <c r="F411" s="24" t="str">
        <f aca="false">IF(E411&gt;=MUS_Parametros!$B$12,"SIM","NÃO")</f>
        <v>NÃO</v>
      </c>
      <c r="G411" s="18" t="n">
        <v>395740.25</v>
      </c>
      <c r="H411" s="21" t="n">
        <f aca="false">E411-G411</f>
        <v>0</v>
      </c>
      <c r="I411" s="25" t="n">
        <f aca="false">IF(F411="SIM","",H411/E411)</f>
        <v>0</v>
      </c>
    </row>
    <row r="412" customFormat="false" ht="15" hidden="false" customHeight="false" outlineLevel="0" collapsed="false">
      <c r="A412" s="7" t="s">
        <v>746</v>
      </c>
      <c r="B412" s="7" t="s">
        <v>198</v>
      </c>
      <c r="C412" s="7" t="s">
        <v>272</v>
      </c>
      <c r="D412" s="7" t="s">
        <v>273</v>
      </c>
      <c r="E412" s="18" t="n">
        <v>1748239.27</v>
      </c>
      <c r="F412" s="24" t="str">
        <f aca="false">IF(E412&gt;=MUS_Parametros!$B$12,"SIM","NÃO")</f>
        <v>NÃO</v>
      </c>
      <c r="G412" s="18" t="n">
        <v>1748239.27</v>
      </c>
      <c r="H412" s="21" t="n">
        <f aca="false">E412-G412</f>
        <v>0</v>
      </c>
      <c r="I412" s="25" t="n">
        <f aca="false">IF(F412="SIM","",H412/E412)</f>
        <v>0</v>
      </c>
    </row>
    <row r="413" customFormat="false" ht="15" hidden="false" customHeight="false" outlineLevel="0" collapsed="false">
      <c r="A413" s="7" t="s">
        <v>747</v>
      </c>
      <c r="B413" s="7" t="s">
        <v>198</v>
      </c>
      <c r="C413" s="7" t="s">
        <v>280</v>
      </c>
      <c r="D413" s="7" t="s">
        <v>273</v>
      </c>
      <c r="E413" s="18" t="n">
        <v>19280.24</v>
      </c>
      <c r="F413" s="24" t="str">
        <f aca="false">IF(E413&gt;=MUS_Parametros!$B$12,"SIM","NÃO")</f>
        <v>NÃO</v>
      </c>
      <c r="G413" s="18" t="n">
        <v>19280.24</v>
      </c>
      <c r="H413" s="21" t="n">
        <f aca="false">E413-G413</f>
        <v>0</v>
      </c>
      <c r="I413" s="25" t="n">
        <f aca="false">IF(F413="SIM","",H413/E413)</f>
        <v>0</v>
      </c>
    </row>
    <row r="414" customFormat="false" ht="15" hidden="false" customHeight="false" outlineLevel="0" collapsed="false">
      <c r="A414" s="7" t="s">
        <v>748</v>
      </c>
      <c r="B414" s="7" t="s">
        <v>198</v>
      </c>
      <c r="C414" s="7" t="s">
        <v>280</v>
      </c>
      <c r="D414" s="7" t="s">
        <v>273</v>
      </c>
      <c r="E414" s="18" t="n">
        <v>34237.85</v>
      </c>
      <c r="F414" s="24" t="str">
        <f aca="false">IF(E414&gt;=MUS_Parametros!$B$12,"SIM","NÃO")</f>
        <v>NÃO</v>
      </c>
      <c r="G414" s="18" t="n">
        <v>34237.85</v>
      </c>
      <c r="H414" s="21" t="n">
        <f aca="false">E414-G414</f>
        <v>0</v>
      </c>
      <c r="I414" s="25" t="n">
        <f aca="false">IF(F414="SIM","",H414/E414)</f>
        <v>0</v>
      </c>
    </row>
    <row r="415" customFormat="false" ht="15" hidden="false" customHeight="false" outlineLevel="0" collapsed="false">
      <c r="A415" s="7" t="s">
        <v>749</v>
      </c>
      <c r="B415" s="7" t="s">
        <v>198</v>
      </c>
      <c r="C415" s="7" t="s">
        <v>287</v>
      </c>
      <c r="D415" s="7" t="s">
        <v>273</v>
      </c>
      <c r="E415" s="18" t="n">
        <v>1911217.05</v>
      </c>
      <c r="F415" s="24" t="str">
        <f aca="false">IF(E415&gt;=MUS_Parametros!$B$12,"SIM","NÃO")</f>
        <v>NÃO</v>
      </c>
      <c r="G415" s="18" t="n">
        <v>1911217.05</v>
      </c>
      <c r="H415" s="21" t="n">
        <f aca="false">E415-G415</f>
        <v>0</v>
      </c>
      <c r="I415" s="25" t="n">
        <f aca="false">IF(F415="SIM","",H415/E415)</f>
        <v>0</v>
      </c>
    </row>
    <row r="416" customFormat="false" ht="15" hidden="false" customHeight="false" outlineLevel="0" collapsed="false">
      <c r="A416" s="7" t="s">
        <v>750</v>
      </c>
      <c r="B416" s="7" t="s">
        <v>198</v>
      </c>
      <c r="C416" s="7" t="s">
        <v>330</v>
      </c>
      <c r="D416" s="7" t="s">
        <v>273</v>
      </c>
      <c r="E416" s="18" t="n">
        <v>6124.56</v>
      </c>
      <c r="F416" s="24" t="str">
        <f aca="false">IF(E416&gt;=MUS_Parametros!$B$12,"SIM","NÃO")</f>
        <v>NÃO</v>
      </c>
      <c r="G416" s="18" t="n">
        <v>6124.56</v>
      </c>
      <c r="H416" s="21" t="n">
        <f aca="false">E416-G416</f>
        <v>0</v>
      </c>
      <c r="I416" s="25" t="n">
        <f aca="false">IF(F416="SIM","",H416/E416)</f>
        <v>0</v>
      </c>
    </row>
    <row r="417" customFormat="false" ht="15" hidden="false" customHeight="false" outlineLevel="0" collapsed="false">
      <c r="A417" s="7" t="s">
        <v>751</v>
      </c>
      <c r="B417" s="7" t="s">
        <v>198</v>
      </c>
      <c r="C417" s="7" t="s">
        <v>287</v>
      </c>
      <c r="D417" s="7" t="s">
        <v>273</v>
      </c>
      <c r="E417" s="18" t="n">
        <v>3485052.59</v>
      </c>
      <c r="F417" s="24" t="str">
        <f aca="false">IF(E417&gt;=MUS_Parametros!$B$12,"SIM","NÃO")</f>
        <v>NÃO</v>
      </c>
      <c r="G417" s="18" t="n">
        <v>3485052.59</v>
      </c>
      <c r="H417" s="21" t="n">
        <f aca="false">E417-G417</f>
        <v>0</v>
      </c>
      <c r="I417" s="25" t="n">
        <f aca="false">IF(F417="SIM","",H417/E417)</f>
        <v>0</v>
      </c>
    </row>
    <row r="418" customFormat="false" ht="15" hidden="false" customHeight="false" outlineLevel="0" collapsed="false">
      <c r="A418" s="7" t="s">
        <v>752</v>
      </c>
      <c r="B418" s="7" t="s">
        <v>198</v>
      </c>
      <c r="C418" s="7" t="s">
        <v>287</v>
      </c>
      <c r="D418" s="7" t="s">
        <v>753</v>
      </c>
      <c r="E418" s="18" t="n">
        <v>893525.4</v>
      </c>
      <c r="F418" s="24" t="str">
        <f aca="false">IF(E418&gt;=MUS_Parametros!$B$12,"SIM","NÃO")</f>
        <v>NÃO</v>
      </c>
      <c r="G418" s="18" t="n">
        <v>893525.4</v>
      </c>
      <c r="H418" s="21" t="n">
        <f aca="false">E418-G418</f>
        <v>0</v>
      </c>
      <c r="I418" s="25" t="n">
        <f aca="false">IF(F418="SIM","",H418/E418)</f>
        <v>0</v>
      </c>
    </row>
    <row r="419" customFormat="false" ht="15" hidden="false" customHeight="false" outlineLevel="0" collapsed="false">
      <c r="A419" s="7" t="s">
        <v>754</v>
      </c>
      <c r="B419" s="7" t="s">
        <v>200</v>
      </c>
      <c r="C419" s="7" t="s">
        <v>755</v>
      </c>
      <c r="D419" s="7" t="s">
        <v>273</v>
      </c>
      <c r="E419" s="18" t="n">
        <v>36013723.17</v>
      </c>
      <c r="F419" s="24" t="str">
        <f aca="false">IF(E419&gt;=MUS_Parametros!$B$12,"SIM","NÃO")</f>
        <v>SIM</v>
      </c>
      <c r="G419" s="18" t="n">
        <v>36013723.17</v>
      </c>
      <c r="H419" s="21" t="n">
        <f aca="false">E419-G419</f>
        <v>0</v>
      </c>
      <c r="I419" s="25" t="str">
        <f aca="false">IF(F419="SIM","",H419/E419)</f>
        <v/>
      </c>
    </row>
    <row r="420" customFormat="false" ht="15" hidden="false" customHeight="false" outlineLevel="0" collapsed="false">
      <c r="A420" s="7" t="s">
        <v>756</v>
      </c>
      <c r="B420" s="7" t="s">
        <v>198</v>
      </c>
      <c r="C420" s="7" t="s">
        <v>287</v>
      </c>
      <c r="D420" s="7" t="s">
        <v>273</v>
      </c>
      <c r="E420" s="18" t="n">
        <v>589640.05</v>
      </c>
      <c r="F420" s="24" t="str">
        <f aca="false">IF(E420&gt;=MUS_Parametros!$B$12,"SIM","NÃO")</f>
        <v>NÃO</v>
      </c>
      <c r="G420" s="18" t="n">
        <v>589640.05</v>
      </c>
      <c r="H420" s="21" t="n">
        <f aca="false">E420-G420</f>
        <v>0</v>
      </c>
      <c r="I420" s="25" t="n">
        <f aca="false">IF(F420="SIM","",H420/E420)</f>
        <v>0</v>
      </c>
    </row>
    <row r="421" customFormat="false" ht="15" hidden="false" customHeight="false" outlineLevel="0" collapsed="false">
      <c r="A421" s="7" t="s">
        <v>757</v>
      </c>
      <c r="B421" s="7" t="s">
        <v>200</v>
      </c>
      <c r="C421" s="7" t="s">
        <v>758</v>
      </c>
      <c r="D421" s="7" t="s">
        <v>273</v>
      </c>
      <c r="E421" s="18" t="n">
        <v>33865656.06</v>
      </c>
      <c r="F421" s="24" t="str">
        <f aca="false">IF(E421&gt;=MUS_Parametros!$B$12,"SIM","NÃO")</f>
        <v>SIM</v>
      </c>
      <c r="G421" s="18" t="n">
        <v>33865656.06</v>
      </c>
      <c r="H421" s="21" t="n">
        <f aca="false">E421-G421</f>
        <v>0</v>
      </c>
      <c r="I421" s="25" t="str">
        <f aca="false">IF(F421="SIM","",H421/E421)</f>
        <v/>
      </c>
    </row>
    <row r="422" customFormat="false" ht="15" hidden="false" customHeight="false" outlineLevel="0" collapsed="false">
      <c r="A422" s="7" t="s">
        <v>759</v>
      </c>
      <c r="B422" s="7" t="s">
        <v>198</v>
      </c>
      <c r="C422" s="7" t="s">
        <v>280</v>
      </c>
      <c r="D422" s="7" t="s">
        <v>273</v>
      </c>
      <c r="E422" s="18" t="n">
        <v>79817.1</v>
      </c>
      <c r="F422" s="24" t="str">
        <f aca="false">IF(E422&gt;=MUS_Parametros!$B$12,"SIM","NÃO")</f>
        <v>NÃO</v>
      </c>
      <c r="G422" s="18" t="n">
        <v>79817.1</v>
      </c>
      <c r="H422" s="21" t="n">
        <f aca="false">E422-G422</f>
        <v>0</v>
      </c>
      <c r="I422" s="25" t="n">
        <f aca="false">IF(F422="SIM","",H422/E422)</f>
        <v>0</v>
      </c>
    </row>
    <row r="423" customFormat="false" ht="15" hidden="false" customHeight="false" outlineLevel="0" collapsed="false">
      <c r="A423" s="7" t="s">
        <v>760</v>
      </c>
      <c r="B423" s="7" t="s">
        <v>200</v>
      </c>
      <c r="C423" s="7" t="s">
        <v>761</v>
      </c>
      <c r="D423" s="7" t="s">
        <v>273</v>
      </c>
      <c r="E423" s="18" t="n">
        <v>21549041.06</v>
      </c>
      <c r="F423" s="24" t="str">
        <f aca="false">IF(E423&gt;=MUS_Parametros!$B$12,"SIM","NÃO")</f>
        <v>NÃO</v>
      </c>
      <c r="G423" s="18" t="n">
        <v>21549041.06</v>
      </c>
      <c r="H423" s="21" t="n">
        <f aca="false">E423-G423</f>
        <v>0</v>
      </c>
      <c r="I423" s="25" t="n">
        <f aca="false">IF(F423="SIM","",H423/E423)</f>
        <v>0</v>
      </c>
    </row>
    <row r="424" customFormat="false" ht="15" hidden="false" customHeight="false" outlineLevel="0" collapsed="false">
      <c r="A424" s="7" t="s">
        <v>762</v>
      </c>
      <c r="B424" s="7" t="s">
        <v>198</v>
      </c>
      <c r="C424" s="7" t="s">
        <v>272</v>
      </c>
      <c r="D424" s="7" t="s">
        <v>273</v>
      </c>
      <c r="E424" s="18" t="n">
        <v>1427787.64</v>
      </c>
      <c r="F424" s="24" t="str">
        <f aca="false">IF(E424&gt;=MUS_Parametros!$B$12,"SIM","NÃO")</f>
        <v>NÃO</v>
      </c>
      <c r="G424" s="18" t="n">
        <v>1427787.64</v>
      </c>
      <c r="H424" s="21" t="n">
        <f aca="false">E424-G424</f>
        <v>0</v>
      </c>
      <c r="I424" s="25" t="n">
        <f aca="false">IF(F424="SIM","",H424/E424)</f>
        <v>0</v>
      </c>
    </row>
    <row r="425" customFormat="false" ht="15" hidden="false" customHeight="false" outlineLevel="0" collapsed="false">
      <c r="A425" s="7" t="s">
        <v>763</v>
      </c>
      <c r="B425" s="7" t="s">
        <v>198</v>
      </c>
      <c r="C425" s="7" t="s">
        <v>272</v>
      </c>
      <c r="D425" s="7" t="s">
        <v>273</v>
      </c>
      <c r="E425" s="18" t="n">
        <v>973542.05</v>
      </c>
      <c r="F425" s="24" t="str">
        <f aca="false">IF(E425&gt;=MUS_Parametros!$B$12,"SIM","NÃO")</f>
        <v>NÃO</v>
      </c>
      <c r="G425" s="18" t="n">
        <v>973542.05</v>
      </c>
      <c r="H425" s="21" t="n">
        <f aca="false">E425-G425</f>
        <v>0</v>
      </c>
      <c r="I425" s="25" t="n">
        <f aca="false">IF(F425="SIM","",H425/E425)</f>
        <v>0</v>
      </c>
    </row>
    <row r="426" customFormat="false" ht="15" hidden="false" customHeight="false" outlineLevel="0" collapsed="false">
      <c r="A426" s="7" t="s">
        <v>764</v>
      </c>
      <c r="B426" s="7" t="s">
        <v>198</v>
      </c>
      <c r="C426" s="7" t="s">
        <v>280</v>
      </c>
      <c r="D426" s="7" t="s">
        <v>273</v>
      </c>
      <c r="E426" s="18" t="n">
        <v>46035.7</v>
      </c>
      <c r="F426" s="24" t="str">
        <f aca="false">IF(E426&gt;=MUS_Parametros!$B$12,"SIM","NÃO")</f>
        <v>NÃO</v>
      </c>
      <c r="G426" s="18" t="n">
        <v>46035.7</v>
      </c>
      <c r="H426" s="21" t="n">
        <f aca="false">E426-G426</f>
        <v>0</v>
      </c>
      <c r="I426" s="25" t="n">
        <f aca="false">IF(F426="SIM","",H426/E426)</f>
        <v>0</v>
      </c>
    </row>
    <row r="427" customFormat="false" ht="15" hidden="false" customHeight="false" outlineLevel="0" collapsed="false">
      <c r="A427" s="7" t="s">
        <v>765</v>
      </c>
      <c r="B427" s="7" t="s">
        <v>198</v>
      </c>
      <c r="C427" s="7" t="s">
        <v>272</v>
      </c>
      <c r="D427" s="7" t="s">
        <v>273</v>
      </c>
      <c r="E427" s="18" t="n">
        <v>970817.09</v>
      </c>
      <c r="F427" s="24" t="str">
        <f aca="false">IF(E427&gt;=MUS_Parametros!$B$12,"SIM","NÃO")</f>
        <v>NÃO</v>
      </c>
      <c r="G427" s="18" t="n">
        <v>970817.09</v>
      </c>
      <c r="H427" s="21" t="n">
        <f aca="false">E427-G427</f>
        <v>0</v>
      </c>
      <c r="I427" s="25" t="n">
        <f aca="false">IF(F427="SIM","",H427/E427)</f>
        <v>0</v>
      </c>
    </row>
    <row r="428" customFormat="false" ht="15" hidden="false" customHeight="false" outlineLevel="0" collapsed="false">
      <c r="A428" s="7" t="s">
        <v>766</v>
      </c>
      <c r="B428" s="7" t="s">
        <v>198</v>
      </c>
      <c r="C428" s="7" t="s">
        <v>287</v>
      </c>
      <c r="D428" s="7" t="s">
        <v>273</v>
      </c>
      <c r="E428" s="18" t="n">
        <v>2979222.91</v>
      </c>
      <c r="F428" s="24" t="str">
        <f aca="false">IF(E428&gt;=MUS_Parametros!$B$12,"SIM","NÃO")</f>
        <v>NÃO</v>
      </c>
      <c r="G428" s="18" t="n">
        <v>2979222.91</v>
      </c>
      <c r="H428" s="21" t="n">
        <f aca="false">E428-G428</f>
        <v>0</v>
      </c>
      <c r="I428" s="25" t="n">
        <f aca="false">IF(F428="SIM","",H428/E428)</f>
        <v>0</v>
      </c>
    </row>
    <row r="429" customFormat="false" ht="15" hidden="false" customHeight="false" outlineLevel="0" collapsed="false">
      <c r="A429" s="7" t="s">
        <v>767</v>
      </c>
      <c r="B429" s="7" t="s">
        <v>198</v>
      </c>
      <c r="C429" s="7" t="s">
        <v>272</v>
      </c>
      <c r="D429" s="7" t="s">
        <v>273</v>
      </c>
      <c r="E429" s="18" t="n">
        <v>1681440.31</v>
      </c>
      <c r="F429" s="24" t="str">
        <f aca="false">IF(E429&gt;=MUS_Parametros!$B$12,"SIM","NÃO")</f>
        <v>NÃO</v>
      </c>
      <c r="G429" s="18" t="n">
        <v>1681440.31</v>
      </c>
      <c r="H429" s="21" t="n">
        <f aca="false">E429-G429</f>
        <v>0</v>
      </c>
      <c r="I429" s="25" t="n">
        <f aca="false">IF(F429="SIM","",H429/E429)</f>
        <v>0</v>
      </c>
    </row>
    <row r="430" customFormat="false" ht="15" hidden="false" customHeight="false" outlineLevel="0" collapsed="false">
      <c r="A430" s="7" t="s">
        <v>768</v>
      </c>
      <c r="B430" s="7" t="s">
        <v>198</v>
      </c>
      <c r="C430" s="7" t="s">
        <v>280</v>
      </c>
      <c r="D430" s="7" t="s">
        <v>273</v>
      </c>
      <c r="E430" s="18" t="n">
        <v>103723.01</v>
      </c>
      <c r="F430" s="24" t="str">
        <f aca="false">IF(E430&gt;=MUS_Parametros!$B$12,"SIM","NÃO")</f>
        <v>NÃO</v>
      </c>
      <c r="G430" s="18" t="n">
        <v>103723.01</v>
      </c>
      <c r="H430" s="21" t="n">
        <f aca="false">E430-G430</f>
        <v>0</v>
      </c>
      <c r="I430" s="25" t="n">
        <f aca="false">IF(F430="SIM","",H430/E430)</f>
        <v>0</v>
      </c>
    </row>
    <row r="431" customFormat="false" ht="15" hidden="false" customHeight="false" outlineLevel="0" collapsed="false">
      <c r="A431" s="7" t="s">
        <v>769</v>
      </c>
      <c r="B431" s="7" t="s">
        <v>198</v>
      </c>
      <c r="C431" s="7" t="s">
        <v>280</v>
      </c>
      <c r="D431" s="7" t="s">
        <v>273</v>
      </c>
      <c r="E431" s="18" t="n">
        <v>73761.06</v>
      </c>
      <c r="F431" s="24" t="str">
        <f aca="false">IF(E431&gt;=MUS_Parametros!$B$12,"SIM","NÃO")</f>
        <v>NÃO</v>
      </c>
      <c r="G431" s="18" t="n">
        <v>73761.06</v>
      </c>
      <c r="H431" s="21" t="n">
        <f aca="false">E431-G431</f>
        <v>0</v>
      </c>
      <c r="I431" s="25" t="n">
        <f aca="false">IF(F431="SIM","",H431/E431)</f>
        <v>0</v>
      </c>
    </row>
    <row r="432" customFormat="false" ht="15" hidden="false" customHeight="false" outlineLevel="0" collapsed="false">
      <c r="A432" s="7" t="s">
        <v>770</v>
      </c>
      <c r="B432" s="7" t="s">
        <v>198</v>
      </c>
      <c r="C432" s="7" t="s">
        <v>272</v>
      </c>
      <c r="D432" s="7" t="s">
        <v>273</v>
      </c>
      <c r="E432" s="18" t="n">
        <v>2875315.08</v>
      </c>
      <c r="F432" s="24" t="str">
        <f aca="false">IF(E432&gt;=MUS_Parametros!$B$12,"SIM","NÃO")</f>
        <v>NÃO</v>
      </c>
      <c r="G432" s="18" t="n">
        <v>2875315.08</v>
      </c>
      <c r="H432" s="21" t="n">
        <f aca="false">E432-G432</f>
        <v>0</v>
      </c>
      <c r="I432" s="25" t="n">
        <f aca="false">IF(F432="SIM","",H432/E432)</f>
        <v>0</v>
      </c>
    </row>
    <row r="433" customFormat="false" ht="15" hidden="false" customHeight="false" outlineLevel="0" collapsed="false">
      <c r="A433" s="7" t="s">
        <v>771</v>
      </c>
      <c r="B433" s="7" t="s">
        <v>198</v>
      </c>
      <c r="C433" s="7" t="s">
        <v>272</v>
      </c>
      <c r="D433" s="7" t="s">
        <v>273</v>
      </c>
      <c r="E433" s="18" t="n">
        <v>2017896</v>
      </c>
      <c r="F433" s="24" t="str">
        <f aca="false">IF(E433&gt;=MUS_Parametros!$B$12,"SIM","NÃO")</f>
        <v>NÃO</v>
      </c>
      <c r="G433" s="18" t="n">
        <v>2017896</v>
      </c>
      <c r="H433" s="21" t="n">
        <f aca="false">E433-G433</f>
        <v>0</v>
      </c>
      <c r="I433" s="25" t="n">
        <f aca="false">IF(F433="SIM","",H433/E433)</f>
        <v>0</v>
      </c>
    </row>
    <row r="434" customFormat="false" ht="15" hidden="false" customHeight="false" outlineLevel="0" collapsed="false">
      <c r="A434" s="7" t="s">
        <v>772</v>
      </c>
      <c r="B434" s="7" t="s">
        <v>198</v>
      </c>
      <c r="C434" s="7" t="s">
        <v>280</v>
      </c>
      <c r="D434" s="7" t="s">
        <v>273</v>
      </c>
      <c r="E434" s="18" t="n">
        <v>38037.71</v>
      </c>
      <c r="F434" s="24" t="str">
        <f aca="false">IF(E434&gt;=MUS_Parametros!$B$12,"SIM","NÃO")</f>
        <v>NÃO</v>
      </c>
      <c r="G434" s="18" t="n">
        <v>38037.71</v>
      </c>
      <c r="H434" s="21" t="n">
        <f aca="false">E434-G434</f>
        <v>0</v>
      </c>
      <c r="I434" s="25" t="n">
        <f aca="false">IF(F434="SIM","",H434/E434)</f>
        <v>0</v>
      </c>
    </row>
    <row r="435" customFormat="false" ht="15" hidden="false" customHeight="false" outlineLevel="0" collapsed="false">
      <c r="A435" s="7" t="s">
        <v>773</v>
      </c>
      <c r="B435" s="7" t="s">
        <v>198</v>
      </c>
      <c r="C435" s="7" t="s">
        <v>287</v>
      </c>
      <c r="D435" s="7" t="s">
        <v>273</v>
      </c>
      <c r="E435" s="18" t="n">
        <v>931223.48</v>
      </c>
      <c r="F435" s="24" t="str">
        <f aca="false">IF(E435&gt;=MUS_Parametros!$B$12,"SIM","NÃO")</f>
        <v>NÃO</v>
      </c>
      <c r="G435" s="18" t="n">
        <v>931223.48</v>
      </c>
      <c r="H435" s="21" t="n">
        <f aca="false">E435-G435</f>
        <v>0</v>
      </c>
      <c r="I435" s="25" t="n">
        <f aca="false">IF(F435="SIM","",H435/E435)</f>
        <v>0</v>
      </c>
    </row>
    <row r="436" customFormat="false" ht="15" hidden="false" customHeight="false" outlineLevel="0" collapsed="false">
      <c r="A436" s="7" t="s">
        <v>774</v>
      </c>
      <c r="B436" s="7" t="s">
        <v>198</v>
      </c>
      <c r="C436" s="7" t="s">
        <v>272</v>
      </c>
      <c r="D436" s="7" t="s">
        <v>273</v>
      </c>
      <c r="E436" s="18" t="n">
        <v>3078101.91</v>
      </c>
      <c r="F436" s="24" t="str">
        <f aca="false">IF(E436&gt;=MUS_Parametros!$B$12,"SIM","NÃO")</f>
        <v>NÃO</v>
      </c>
      <c r="G436" s="18" t="n">
        <v>3078101.91</v>
      </c>
      <c r="H436" s="21" t="n">
        <f aca="false">E436-G436</f>
        <v>0</v>
      </c>
      <c r="I436" s="25" t="n">
        <f aca="false">IF(F436="SIM","",H436/E436)</f>
        <v>0</v>
      </c>
    </row>
    <row r="437" customFormat="false" ht="15" hidden="false" customHeight="false" outlineLevel="0" collapsed="false">
      <c r="A437" s="7" t="s">
        <v>775</v>
      </c>
      <c r="B437" s="7" t="s">
        <v>198</v>
      </c>
      <c r="C437" s="7" t="s">
        <v>283</v>
      </c>
      <c r="D437" s="7" t="s">
        <v>273</v>
      </c>
      <c r="E437" s="18" t="n">
        <v>1270097.96</v>
      </c>
      <c r="F437" s="24" t="str">
        <f aca="false">IF(E437&gt;=MUS_Parametros!$B$12,"SIM","NÃO")</f>
        <v>NÃO</v>
      </c>
      <c r="G437" s="18" t="n">
        <v>1270097.96</v>
      </c>
      <c r="H437" s="21" t="n">
        <f aca="false">E437-G437</f>
        <v>0</v>
      </c>
      <c r="I437" s="25" t="n">
        <f aca="false">IF(F437="SIM","",H437/E437)</f>
        <v>0</v>
      </c>
    </row>
    <row r="438" customFormat="false" ht="15" hidden="false" customHeight="false" outlineLevel="0" collapsed="false">
      <c r="A438" s="7" t="s">
        <v>776</v>
      </c>
      <c r="B438" s="7" t="s">
        <v>198</v>
      </c>
      <c r="C438" s="7" t="s">
        <v>330</v>
      </c>
      <c r="D438" s="7" t="s">
        <v>273</v>
      </c>
      <c r="E438" s="18" t="n">
        <v>4687.27</v>
      </c>
      <c r="F438" s="24" t="str">
        <f aca="false">IF(E438&gt;=MUS_Parametros!$B$12,"SIM","NÃO")</f>
        <v>NÃO</v>
      </c>
      <c r="G438" s="18" t="n">
        <v>4687.27</v>
      </c>
      <c r="H438" s="21" t="n">
        <f aca="false">E438-G438</f>
        <v>0</v>
      </c>
      <c r="I438" s="25" t="n">
        <f aca="false">IF(F438="SIM","",H438/E438)</f>
        <v>0</v>
      </c>
    </row>
    <row r="439" customFormat="false" ht="15" hidden="false" customHeight="false" outlineLevel="0" collapsed="false">
      <c r="A439" s="7" t="s">
        <v>777</v>
      </c>
      <c r="B439" s="7" t="s">
        <v>198</v>
      </c>
      <c r="C439" s="7" t="s">
        <v>287</v>
      </c>
      <c r="D439" s="7" t="s">
        <v>273</v>
      </c>
      <c r="E439" s="18" t="n">
        <v>111420.69</v>
      </c>
      <c r="F439" s="24" t="str">
        <f aca="false">IF(E439&gt;=MUS_Parametros!$B$12,"SIM","NÃO")</f>
        <v>NÃO</v>
      </c>
      <c r="G439" s="18" t="n">
        <v>111420.69</v>
      </c>
      <c r="H439" s="21" t="n">
        <f aca="false">E439-G439</f>
        <v>0</v>
      </c>
      <c r="I439" s="25" t="n">
        <f aca="false">IF(F439="SIM","",H439/E439)</f>
        <v>0</v>
      </c>
    </row>
    <row r="440" customFormat="false" ht="15" hidden="false" customHeight="false" outlineLevel="0" collapsed="false">
      <c r="A440" s="7" t="s">
        <v>778</v>
      </c>
      <c r="B440" s="7" t="s">
        <v>198</v>
      </c>
      <c r="C440" s="7" t="s">
        <v>287</v>
      </c>
      <c r="D440" s="7" t="s">
        <v>753</v>
      </c>
      <c r="E440" s="18" t="n">
        <v>850498.85</v>
      </c>
      <c r="F440" s="24" t="str">
        <f aca="false">IF(E440&gt;=MUS_Parametros!$B$12,"SIM","NÃO")</f>
        <v>NÃO</v>
      </c>
      <c r="G440" s="18" t="n">
        <v>850498.85</v>
      </c>
      <c r="H440" s="21" t="n">
        <f aca="false">E440-G440</f>
        <v>0</v>
      </c>
      <c r="I440" s="25" t="n">
        <f aca="false">IF(F440="SIM","",H440/E440)</f>
        <v>0</v>
      </c>
    </row>
    <row r="441" customFormat="false" ht="15" hidden="false" customHeight="false" outlineLevel="0" collapsed="false">
      <c r="A441" s="7" t="s">
        <v>779</v>
      </c>
      <c r="B441" s="7" t="s">
        <v>198</v>
      </c>
      <c r="C441" s="7" t="s">
        <v>272</v>
      </c>
      <c r="D441" s="7" t="s">
        <v>273</v>
      </c>
      <c r="E441" s="18" t="n">
        <v>2463240.89</v>
      </c>
      <c r="F441" s="24" t="str">
        <f aca="false">IF(E441&gt;=MUS_Parametros!$B$12,"SIM","NÃO")</f>
        <v>NÃO</v>
      </c>
      <c r="G441" s="18" t="n">
        <v>2463240.89</v>
      </c>
      <c r="H441" s="21" t="n">
        <f aca="false">E441-G441</f>
        <v>0</v>
      </c>
      <c r="I441" s="25" t="n">
        <f aca="false">IF(F441="SIM","",H441/E441)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780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11" t="s">
        <v>781</v>
      </c>
    </row>
    <row r="5" customFormat="false" ht="15" hidden="false" customHeight="false" outlineLevel="0" collapsed="false">
      <c r="A5" s="7" t="s">
        <v>782</v>
      </c>
      <c r="B5" s="22" t="n">
        <v>2.9957</v>
      </c>
    </row>
    <row r="6" customFormat="false" ht="15" hidden="false" customHeight="false" outlineLevel="0" collapsed="false">
      <c r="A6" s="7" t="s">
        <v>783</v>
      </c>
      <c r="B6" s="22" t="n">
        <v>4.7439</v>
      </c>
    </row>
    <row r="7" customFormat="false" ht="15" hidden="false" customHeight="false" outlineLevel="0" collapsed="false">
      <c r="A7" s="7" t="s">
        <v>784</v>
      </c>
      <c r="B7" s="22" t="n">
        <v>6.2958</v>
      </c>
    </row>
    <row r="8" customFormat="false" ht="15" hidden="false" customHeight="false" outlineLevel="0" collapsed="false">
      <c r="A8" s="7" t="s">
        <v>785</v>
      </c>
      <c r="B8" s="22" t="n">
        <v>7.7537</v>
      </c>
    </row>
    <row r="9" customFormat="false" ht="15" hidden="false" customHeight="false" outlineLevel="0" collapsed="false">
      <c r="A9" s="7" t="s">
        <v>786</v>
      </c>
      <c r="B9" s="22" t="n">
        <v>9.1535</v>
      </c>
    </row>
    <row r="10" customFormat="false" ht="15" hidden="false" customHeight="false" outlineLevel="0" collapsed="false">
      <c r="A10" s="7" t="s">
        <v>787</v>
      </c>
      <c r="B10" s="22" t="n">
        <v>10.513</v>
      </c>
    </row>
    <row r="11" customFormat="false" ht="15" hidden="false" customHeight="false" outlineLevel="0" collapsed="false">
      <c r="A11" s="7" t="s">
        <v>788</v>
      </c>
      <c r="B11" s="22" t="n">
        <v>11.8424</v>
      </c>
    </row>
    <row r="12" customFormat="false" ht="15" hidden="false" customHeight="false" outlineLevel="0" collapsed="false">
      <c r="A12" s="7" t="s">
        <v>789</v>
      </c>
      <c r="B12" s="22" t="n">
        <v>13.1481</v>
      </c>
    </row>
    <row r="14" customFormat="false" ht="15" hidden="false" customHeight="false" outlineLevel="0" collapsed="false">
      <c r="A14" s="7" t="s">
        <v>790</v>
      </c>
      <c r="B14" s="14" t="n">
        <f aca="false">COUNTIFS(MUS_Amostra!F5:F441,"NÃO",MUS_Amostra!H5:H441,"&gt;0")</f>
        <v>2</v>
      </c>
    </row>
    <row r="15" customFormat="false" ht="15" hidden="false" customHeight="false" outlineLevel="0" collapsed="false">
      <c r="A15" s="7" t="s">
        <v>791</v>
      </c>
      <c r="B15" s="26" t="n">
        <f aca="false">SUMIFS(MUS_Amostra!I5:I441,MUS_Amostra!F5:F441,"NÃO",MUS_Amostra!H5:H441,"&gt;0")</f>
        <v>2</v>
      </c>
    </row>
    <row r="16" customFormat="false" ht="15" hidden="false" customHeight="false" outlineLevel="0" collapsed="false">
      <c r="A16" s="7" t="s">
        <v>792</v>
      </c>
      <c r="B16" s="20" t="n">
        <f aca="false">SUMIFS(MUS_Amostra!H5:H441,MUS_Amostra!F5:F441,"SIM")</f>
        <v>0</v>
      </c>
    </row>
    <row r="17" customFormat="false" ht="15" hidden="false" customHeight="false" outlineLevel="0" collapsed="false">
      <c r="A17" s="7" t="s">
        <v>793</v>
      </c>
      <c r="B17" s="21" t="n">
        <f aca="false">MUS_Parametros!B12*B5</f>
        <v>95418798.1035907</v>
      </c>
    </row>
    <row r="18" customFormat="false" ht="15" hidden="false" customHeight="false" outlineLevel="0" collapsed="false">
      <c r="A18" s="7" t="s">
        <v>794</v>
      </c>
      <c r="B18" s="21" t="n">
        <f aca="false">B15*MUS_Parametros!B12+B16</f>
        <v>63703840.9076949</v>
      </c>
    </row>
    <row r="19" customFormat="false" ht="15" hidden="false" customHeight="false" outlineLevel="0" collapsed="false">
      <c r="A19" s="7" t="s">
        <v>795</v>
      </c>
      <c r="B19" s="21" t="n">
        <f aca="false">IF(B14=0,0,MUS_Parametros!B12*(INDEX(B5:B12,B14+1)-B5-B14))</f>
        <v>41410681.782047</v>
      </c>
    </row>
    <row r="20" customFormat="false" ht="15" hidden="false" customHeight="false" outlineLevel="0" collapsed="false">
      <c r="A20" s="11" t="s">
        <v>796</v>
      </c>
      <c r="B20" s="19" t="n">
        <f aca="false">B17+B18+B19</f>
        <v>200533320.793333</v>
      </c>
    </row>
    <row r="21" customFormat="false" ht="15" hidden="false" customHeight="false" outlineLevel="0" collapsed="false">
      <c r="A21" s="7" t="s">
        <v>797</v>
      </c>
      <c r="B21" s="20" t="n">
        <f aca="false">MUS_Parametros!B6</f>
        <v>113633000</v>
      </c>
    </row>
    <row r="22" customFormat="false" ht="15" hidden="false" customHeight="false" outlineLevel="0" collapsed="false">
      <c r="A22" s="11" t="s">
        <v>798</v>
      </c>
      <c r="B22" s="7" t="str">
        <f aca="false">IF(B20&lt;B21,"LSD &lt; tolerável: aceitar","LSD &gt; tolerável: estender testes (100% via CAAT) e propor ajuste")</f>
        <v>LSD &gt; tolerável: estender testes (100% via CAAT) e propor ajuste</v>
      </c>
    </row>
    <row r="23" customFormat="false" ht="15" hidden="false" customHeight="false" outlineLevel="0" collapsed="false">
      <c r="A23" s="7" t="s">
        <v>799</v>
      </c>
      <c r="B23" s="18" t="n">
        <v>200533320.79</v>
      </c>
      <c r="C23" s="7" t="str">
        <f aca="false">IF(ABS(B23-B20)&lt;1,"Planilha = código","DIVERGÊNCIA")</f>
        <v>Planilha = código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800</v>
      </c>
    </row>
    <row r="2" customFormat="false" ht="15" hidden="false" customHeight="false" outlineLevel="0" collapsed="false">
      <c r="A2" s="4" t="s">
        <v>22</v>
      </c>
    </row>
    <row r="4" customFormat="false" ht="23.85" hidden="false" customHeight="false" outlineLevel="0" collapsed="false">
      <c r="A4" s="6" t="s">
        <v>801</v>
      </c>
      <c r="B4" s="6" t="s">
        <v>802</v>
      </c>
      <c r="C4" s="6" t="s">
        <v>803</v>
      </c>
      <c r="D4" s="6" t="s">
        <v>804</v>
      </c>
      <c r="E4" s="6" t="s">
        <v>805</v>
      </c>
      <c r="F4" s="6" t="s">
        <v>806</v>
      </c>
      <c r="G4" s="6" t="s">
        <v>807</v>
      </c>
    </row>
    <row r="5" customFormat="false" ht="15" hidden="false" customHeight="false" outlineLevel="0" collapsed="false">
      <c r="A5" s="7" t="s">
        <v>808</v>
      </c>
      <c r="B5" s="7" t="s">
        <v>809</v>
      </c>
      <c r="C5" s="8" t="n">
        <v>150</v>
      </c>
      <c r="D5" s="8" t="n">
        <v>150</v>
      </c>
      <c r="E5" s="10" t="n">
        <f aca="false">D5/C5</f>
        <v>1</v>
      </c>
      <c r="F5" s="18" t="n">
        <v>1467246.49</v>
      </c>
      <c r="G5" s="7" t="s">
        <v>810</v>
      </c>
    </row>
    <row r="6" customFormat="false" ht="15" hidden="false" customHeight="false" outlineLevel="0" collapsed="false">
      <c r="A6" s="7" t="s">
        <v>811</v>
      </c>
      <c r="B6" s="7" t="s">
        <v>812</v>
      </c>
      <c r="C6" s="8" t="n">
        <v>40</v>
      </c>
      <c r="D6" s="8" t="n">
        <v>40</v>
      </c>
      <c r="E6" s="10" t="n">
        <f aca="false">D6/C6</f>
        <v>1</v>
      </c>
      <c r="F6" s="18" t="n">
        <v>-396374.59</v>
      </c>
      <c r="G6" s="7" t="s">
        <v>813</v>
      </c>
    </row>
    <row r="7" customFormat="false" ht="15" hidden="false" customHeight="false" outlineLevel="0" collapsed="false">
      <c r="A7" s="7" t="s">
        <v>814</v>
      </c>
      <c r="B7" s="7" t="s">
        <v>815</v>
      </c>
      <c r="C7" s="8" t="n">
        <v>60</v>
      </c>
      <c r="D7" s="8" t="n">
        <v>60</v>
      </c>
      <c r="E7" s="10" t="n">
        <f aca="false">D7/C7</f>
        <v>1</v>
      </c>
      <c r="F7" s="18" t="n">
        <v>1239096.86</v>
      </c>
      <c r="G7" s="7" t="s">
        <v>816</v>
      </c>
    </row>
    <row r="8" customFormat="false" ht="15" hidden="false" customHeight="false" outlineLevel="0" collapsed="false">
      <c r="A8" s="7" t="s">
        <v>817</v>
      </c>
      <c r="B8" s="7" t="s">
        <v>818</v>
      </c>
      <c r="C8" s="8" t="n">
        <v>80</v>
      </c>
      <c r="D8" s="8" t="n">
        <v>80</v>
      </c>
      <c r="E8" s="10" t="n">
        <f aca="false">D8/C8</f>
        <v>1</v>
      </c>
      <c r="F8" s="18" t="n">
        <v>644225.01</v>
      </c>
      <c r="G8" s="7" t="s">
        <v>819</v>
      </c>
    </row>
    <row r="9" customFormat="false" ht="15" hidden="false" customHeight="false" outlineLevel="0" collapsed="false">
      <c r="A9" s="7" t="s">
        <v>820</v>
      </c>
      <c r="B9" s="7" t="s">
        <v>821</v>
      </c>
      <c r="C9" s="8" t="n">
        <v>70</v>
      </c>
      <c r="D9" s="8" t="n">
        <v>70</v>
      </c>
      <c r="E9" s="10" t="n">
        <f aca="false">D9/C9</f>
        <v>1</v>
      </c>
      <c r="F9" s="18" t="n">
        <v>409618.19</v>
      </c>
      <c r="G9" s="7" t="s">
        <v>822</v>
      </c>
    </row>
    <row r="10" customFormat="false" ht="15" hidden="false" customHeight="false" outlineLevel="0" collapsed="false">
      <c r="A10" s="7" t="s">
        <v>823</v>
      </c>
      <c r="B10" s="7" t="s">
        <v>824</v>
      </c>
      <c r="C10" s="8" t="n">
        <v>50</v>
      </c>
      <c r="D10" s="8" t="n">
        <v>50</v>
      </c>
      <c r="E10" s="10" t="n">
        <f aca="false">D10/C10</f>
        <v>1</v>
      </c>
      <c r="F10" s="18" t="n">
        <v>0</v>
      </c>
      <c r="G10" s="7" t="s">
        <v>825</v>
      </c>
    </row>
    <row r="11" customFormat="false" ht="15" hidden="false" customHeight="false" outlineLevel="0" collapsed="false">
      <c r="A11" s="7" t="s">
        <v>826</v>
      </c>
      <c r="B11" s="7" t="s">
        <v>827</v>
      </c>
      <c r="C11" s="8" t="n">
        <v>30</v>
      </c>
      <c r="D11" s="8" t="n">
        <v>30</v>
      </c>
      <c r="E11" s="10" t="n">
        <f aca="false">D11/C11</f>
        <v>1</v>
      </c>
      <c r="F11" s="18" t="n">
        <v>29830692.69</v>
      </c>
      <c r="G11" s="7" t="s">
        <v>828</v>
      </c>
    </row>
    <row r="12" customFormat="false" ht="15" hidden="false" customHeight="false" outlineLevel="0" collapsed="false">
      <c r="A12" s="7" t="s">
        <v>829</v>
      </c>
      <c r="B12" s="7" t="s">
        <v>830</v>
      </c>
      <c r="C12" s="8" t="n">
        <v>45</v>
      </c>
      <c r="D12" s="8" t="n">
        <v>45</v>
      </c>
      <c r="E12" s="10" t="n">
        <f aca="false">D12/C12</f>
        <v>1</v>
      </c>
      <c r="F12" s="18" t="n">
        <v>-183716.43</v>
      </c>
      <c r="G12" s="7" t="s">
        <v>831</v>
      </c>
    </row>
    <row r="13" customFormat="false" ht="15" hidden="false" customHeight="false" outlineLevel="0" collapsed="false">
      <c r="A13" s="7" t="s">
        <v>832</v>
      </c>
      <c r="B13" s="7" t="s">
        <v>833</v>
      </c>
      <c r="C13" s="8" t="n">
        <v>55</v>
      </c>
      <c r="D13" s="8" t="n">
        <v>55</v>
      </c>
      <c r="E13" s="10" t="n">
        <f aca="false">D13/C13</f>
        <v>1</v>
      </c>
      <c r="F13" s="18" t="n">
        <v>893683.96</v>
      </c>
      <c r="G13" s="7" t="s">
        <v>813</v>
      </c>
    </row>
    <row r="14" customFormat="false" ht="15" hidden="false" customHeight="false" outlineLevel="0" collapsed="false">
      <c r="B14" s="11" t="s">
        <v>834</v>
      </c>
      <c r="C14" s="12" t="n">
        <f aca="false">SUM(C5:C13)</f>
        <v>580</v>
      </c>
      <c r="D14" s="12" t="n">
        <f aca="false">SUM(D5:D13)</f>
        <v>580</v>
      </c>
      <c r="E14" s="27" t="n">
        <f aca="false">D14/C14</f>
        <v>1</v>
      </c>
      <c r="F14" s="19" t="n">
        <f aca="false">SUM(F5:F13)</f>
        <v>33904472.18</v>
      </c>
    </row>
    <row r="15" customFormat="false" ht="15" hidden="false" customHeight="false" outlineLevel="0" collapsed="false">
      <c r="B15" s="7" t="s">
        <v>835</v>
      </c>
      <c r="D15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0"/>
    <col collapsed="false" customWidth="true" hidden="false" outlineLevel="0" max="4" min="4" style="0" width="50"/>
  </cols>
  <sheetData>
    <row r="1" customFormat="false" ht="16.15" hidden="false" customHeight="false" outlineLevel="0" collapsed="false">
      <c r="A1" s="1" t="s">
        <v>836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5" t="s">
        <v>837</v>
      </c>
    </row>
    <row r="4" customFormat="false" ht="15" hidden="false" customHeight="false" outlineLevel="0" collapsed="false">
      <c r="A4" s="5" t="s">
        <v>838</v>
      </c>
    </row>
    <row r="6" customFormat="false" ht="15" hidden="false" customHeight="false" outlineLevel="0" collapsed="false">
      <c r="A6" s="6" t="s">
        <v>839</v>
      </c>
      <c r="B6" s="6" t="s">
        <v>155</v>
      </c>
      <c r="C6" s="6" t="s">
        <v>840</v>
      </c>
      <c r="D6" s="6" t="s">
        <v>158</v>
      </c>
    </row>
    <row r="7" customFormat="false" ht="15" hidden="false" customHeight="false" outlineLevel="0" collapsed="false">
      <c r="A7" s="7" t="s">
        <v>841</v>
      </c>
      <c r="B7" s="20" t="n">
        <f aca="false">Excecoes!F14/1000</f>
        <v>33904.47218</v>
      </c>
      <c r="C7" s="7" t="s">
        <v>842</v>
      </c>
    </row>
    <row r="8" customFormat="false" ht="15" hidden="false" customHeight="false" outlineLevel="0" collapsed="false">
      <c r="A8" s="7" t="s">
        <v>172</v>
      </c>
      <c r="B8" s="14" t="n">
        <f aca="false">Materialidade!B16</f>
        <v>8117</v>
      </c>
    </row>
    <row r="9" customFormat="false" ht="15" hidden="false" customHeight="false" outlineLevel="0" collapsed="false">
      <c r="A9" s="7" t="s">
        <v>843</v>
      </c>
      <c r="B9" s="14" t="n">
        <f aca="false">Materialidade!B14</f>
        <v>113633</v>
      </c>
    </row>
    <row r="10" customFormat="false" ht="15" hidden="false" customHeight="false" outlineLevel="0" collapsed="false">
      <c r="A10" s="7" t="s">
        <v>844</v>
      </c>
      <c r="B10" s="14" t="n">
        <f aca="false">Materialidade!B12</f>
        <v>162333</v>
      </c>
    </row>
    <row r="11" customFormat="false" ht="15" hidden="false" customHeight="false" outlineLevel="0" collapsed="false">
      <c r="A11" s="11" t="s">
        <v>845</v>
      </c>
      <c r="B11" s="7" t="str">
        <f aca="false">IF(B7&lt;=B8,"Trivial",IF(B7&lt;B9,"Acima do trivial e abaixo da ME: acumular e solicitar correção",IF(B7&lt;B10,"Acima da ME: solicitar correção; avaliar efeito agregado","Relevante")))</f>
        <v>Acima do trivial e abaixo da ME: acumular e solicitar correção</v>
      </c>
    </row>
    <row r="12" customFormat="false" ht="15" hidden="false" customHeight="false" outlineLevel="0" collapsed="false">
      <c r="A12" s="7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8"/>
    <col collapsed="false" customWidth="true" hidden="false" outlineLevel="0" max="4" min="4" style="0" width="50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847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839</v>
      </c>
      <c r="B4" s="6" t="s">
        <v>848</v>
      </c>
      <c r="C4" s="6" t="s">
        <v>849</v>
      </c>
      <c r="D4" s="6" t="s">
        <v>850</v>
      </c>
    </row>
    <row r="5" customFormat="false" ht="15" hidden="false" customHeight="false" outlineLevel="0" collapsed="false">
      <c r="A5" s="7" t="s">
        <v>851</v>
      </c>
      <c r="B5" s="14" t="n">
        <f aca="false">BP!B85</f>
        <v>1934020</v>
      </c>
      <c r="C5" s="8" t="n">
        <v>1571600</v>
      </c>
      <c r="D5" s="9" t="n">
        <f aca="false">B5-C5</f>
        <v>362420</v>
      </c>
      <c r="E5" s="7" t="s">
        <v>852</v>
      </c>
    </row>
    <row r="6" customFormat="false" ht="15" hidden="false" customHeight="false" outlineLevel="0" collapsed="false">
      <c r="A6" s="7" t="s">
        <v>853</v>
      </c>
      <c r="B6" s="14" t="n">
        <f aca="false">DRE!B10</f>
        <v>3303150</v>
      </c>
      <c r="C6" s="14" t="n">
        <f aca="false">-DRE!B23</f>
        <v>3272763</v>
      </c>
      <c r="D6" s="9" t="n">
        <f aca="false">B6-C6</f>
        <v>30387</v>
      </c>
      <c r="E6" s="7" t="s">
        <v>854</v>
      </c>
    </row>
    <row r="7" customFormat="false" ht="15" hidden="false" customHeight="false" outlineLevel="0" collapsed="false">
      <c r="A7" s="7" t="s">
        <v>855</v>
      </c>
      <c r="B7" s="14" t="n">
        <f aca="false">DRE!B12</f>
        <v>2348143</v>
      </c>
      <c r="C7" s="14" t="n">
        <f aca="false">DRE!C12</f>
        <v>838280</v>
      </c>
      <c r="D7" s="10" t="n">
        <f aca="false">B7/C7-1</f>
        <v>1.80114400916162</v>
      </c>
      <c r="E7" s="7" t="s">
        <v>856</v>
      </c>
    </row>
    <row r="8" customFormat="false" ht="15" hidden="false" customHeight="false" outlineLevel="0" collapsed="false">
      <c r="A8" s="7" t="s">
        <v>857</v>
      </c>
      <c r="B8" s="14" t="n">
        <f aca="false">DRE!B15</f>
        <v>-11110778</v>
      </c>
      <c r="C8" s="14" t="n">
        <f aca="false">DRE!C15</f>
        <v>-8924895</v>
      </c>
      <c r="D8" s="10" t="n">
        <f aca="false">B8/C8-1</f>
        <v>0.244919744153853</v>
      </c>
      <c r="E8" s="7" t="s">
        <v>858</v>
      </c>
    </row>
    <row r="9" customFormat="false" ht="15" hidden="false" customHeight="false" outlineLevel="0" collapsed="false">
      <c r="A9" s="7" t="s">
        <v>859</v>
      </c>
      <c r="B9" s="14" t="n">
        <f aca="false">DRE!B29</f>
        <v>-3142010</v>
      </c>
      <c r="C9" s="14" t="n">
        <f aca="false">DRE!C29</f>
        <v>-2341793</v>
      </c>
      <c r="D9" s="10" t="n">
        <f aca="false">B9/C9-1</f>
        <v>0.341711244332868</v>
      </c>
      <c r="E9" s="7" t="s">
        <v>860</v>
      </c>
    </row>
    <row r="10" customFormat="false" ht="15" hidden="false" customHeight="false" outlineLevel="0" collapsed="false">
      <c r="A10" s="7" t="s">
        <v>861</v>
      </c>
      <c r="B10" s="14" t="n">
        <f aca="false">(Indicadores!B6+Indicadores!C6)/2*0.1322</f>
        <v>2462985.2822</v>
      </c>
      <c r="C10" s="14" t="n">
        <f aca="false">-DRE!B29</f>
        <v>3142010</v>
      </c>
      <c r="D10" s="10" t="n">
        <f aca="false">C10/B10-1</f>
        <v>0.275691748021116</v>
      </c>
      <c r="E10" s="7" t="s">
        <v>862</v>
      </c>
    </row>
    <row r="11" customFormat="false" ht="15" hidden="false" customHeight="false" outlineLevel="0" collapsed="false">
      <c r="A11" s="7" t="s">
        <v>863</v>
      </c>
      <c r="B11" s="14" t="n">
        <f aca="false">BP!B57</f>
        <v>2325889</v>
      </c>
      <c r="C11" s="8" t="n">
        <v>2450000</v>
      </c>
      <c r="D11" s="9" t="n">
        <f aca="false">B11-C11</f>
        <v>-124111</v>
      </c>
      <c r="E11" s="7" t="s">
        <v>864</v>
      </c>
    </row>
    <row r="12" customFormat="false" ht="15" hidden="false" customHeight="false" outlineLevel="0" collapsed="false">
      <c r="A12" s="7" t="s">
        <v>865</v>
      </c>
      <c r="B12" s="14" t="n">
        <f aca="false">D5</f>
        <v>362420</v>
      </c>
      <c r="C12" s="8" t="n">
        <v>362465</v>
      </c>
      <c r="D12" s="9" t="n">
        <f aca="false">B12-C12</f>
        <v>-45</v>
      </c>
      <c r="E12" s="7" t="s">
        <v>866</v>
      </c>
    </row>
    <row r="13" customFormat="false" ht="15" hidden="false" customHeight="false" outlineLevel="0" collapsed="false">
      <c r="A13" s="7" t="s">
        <v>867</v>
      </c>
      <c r="B13" s="8" t="n">
        <v>605500</v>
      </c>
      <c r="C13" s="14" t="n">
        <f aca="false">BP!B10</f>
        <v>4300957</v>
      </c>
      <c r="D13" s="10" t="n">
        <f aca="false">B13/C13</f>
        <v>0.140782621170126</v>
      </c>
      <c r="E13" s="7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1" t="s">
        <v>869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839</v>
      </c>
      <c r="B4" s="6" t="s">
        <v>870</v>
      </c>
      <c r="C4" s="6" t="s">
        <v>871</v>
      </c>
    </row>
    <row r="5" customFormat="false" ht="15" hidden="false" customHeight="false" outlineLevel="0" collapsed="false">
      <c r="A5" s="7" t="s">
        <v>872</v>
      </c>
      <c r="B5" s="8" t="n">
        <v>3739</v>
      </c>
      <c r="C5" s="7" t="s">
        <v>873</v>
      </c>
    </row>
    <row r="6" customFormat="false" ht="15" hidden="false" customHeight="false" outlineLevel="0" collapsed="false">
      <c r="A6" s="7" t="s">
        <v>874</v>
      </c>
      <c r="B6" s="8" t="n">
        <v>2068</v>
      </c>
      <c r="C6" s="7" t="s">
        <v>873</v>
      </c>
    </row>
    <row r="7" customFormat="false" ht="15" hidden="false" customHeight="false" outlineLevel="0" collapsed="false">
      <c r="A7" s="7" t="s">
        <v>875</v>
      </c>
      <c r="B7" s="8" t="n">
        <v>1672</v>
      </c>
      <c r="C7" s="7" t="s">
        <v>873</v>
      </c>
    </row>
    <row r="8" customFormat="false" ht="15" hidden="false" customHeight="false" outlineLevel="0" collapsed="false">
      <c r="A8" s="11" t="s">
        <v>876</v>
      </c>
      <c r="B8" s="28" t="n">
        <f aca="false">B5/B6</f>
        <v>1.80802707930368</v>
      </c>
    </row>
    <row r="9" customFormat="false" ht="15" hidden="false" customHeight="false" outlineLevel="0" collapsed="false">
      <c r="A9" s="7" t="s">
        <v>877</v>
      </c>
      <c r="B9" s="8" t="n">
        <v>3028.446</v>
      </c>
    </row>
    <row r="10" customFormat="false" ht="15" hidden="false" customHeight="false" outlineLevel="0" collapsed="false">
      <c r="A10" s="7" t="s">
        <v>878</v>
      </c>
      <c r="B10" s="29" t="n">
        <v>2.7</v>
      </c>
    </row>
    <row r="11" customFormat="false" ht="15" hidden="false" customHeight="false" outlineLevel="0" collapsed="false">
      <c r="A11" s="7" t="s">
        <v>879</v>
      </c>
      <c r="B11" s="13" t="n">
        <f aca="false">Indicadores!B5</f>
        <v>0.983668611196009</v>
      </c>
    </row>
    <row r="12" customFormat="false" ht="15" hidden="false" customHeight="false" outlineLevel="0" collapsed="false">
      <c r="A12" s="11" t="s">
        <v>880</v>
      </c>
      <c r="B12" s="7" t="str">
        <f aca="false">IF(AND(B8&gt;1,B10&lt;=3.1),"Sem indício de incerteza relevante com dados públicos","Aprofundar")</f>
        <v>Sem indício de incerteza relevante com dados públicos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8"/>
    <col collapsed="false" customWidth="true" hidden="false" outlineLevel="0" max="6" min="6" style="0" width="46"/>
  </cols>
  <sheetData>
    <row r="1" customFormat="false" ht="16.15" hidden="false" customHeight="false" outlineLevel="0" collapsed="false">
      <c r="A1" s="1" t="s">
        <v>881</v>
      </c>
    </row>
    <row r="2" customFormat="false" ht="15" hidden="false" customHeight="false" outlineLevel="0" collapsed="false">
      <c r="A2" s="4" t="s">
        <v>22</v>
      </c>
    </row>
    <row r="3" customFormat="false" ht="15" hidden="false" customHeight="false" outlineLevel="0" collapsed="false">
      <c r="A3" s="11" t="s">
        <v>882</v>
      </c>
      <c r="B3" s="14" t="n">
        <f aca="false">Materialidade!B14</f>
        <v>113633</v>
      </c>
    </row>
    <row r="5" customFormat="false" ht="15" hidden="false" customHeight="false" outlineLevel="0" collapsed="false">
      <c r="A5" s="6" t="s">
        <v>839</v>
      </c>
      <c r="B5" s="6" t="s">
        <v>883</v>
      </c>
      <c r="C5" s="6" t="s">
        <v>884</v>
      </c>
      <c r="D5" s="6" t="s">
        <v>225</v>
      </c>
      <c r="E5" s="6" t="s">
        <v>885</v>
      </c>
      <c r="F5" s="6" t="s">
        <v>886</v>
      </c>
    </row>
    <row r="6" customFormat="false" ht="15" hidden="false" customHeight="false" outlineLevel="0" collapsed="false">
      <c r="A6" s="7" t="s">
        <v>887</v>
      </c>
      <c r="B6" s="17" t="n">
        <v>0.1322</v>
      </c>
    </row>
    <row r="7" customFormat="false" ht="15" hidden="false" customHeight="false" outlineLevel="0" collapsed="false">
      <c r="A7" s="7" t="s">
        <v>888</v>
      </c>
      <c r="B7" s="14" t="n">
        <f aca="false">(Indicadores!B6+Indicadores!C6)/2*B6</f>
        <v>2462985.2822</v>
      </c>
      <c r="C7" s="14" t="n">
        <f aca="false">-DRE!B29</f>
        <v>3142010</v>
      </c>
      <c r="D7" s="9" t="n">
        <f aca="false">C7-B7</f>
        <v>679024.7178</v>
      </c>
      <c r="E7" s="7" t="str">
        <f aca="false">IF(ABS(D7)&gt;$B$3,"Sim - investigar","Não")</f>
        <v>Sim - investigar</v>
      </c>
      <c r="F7" s="7" t="s">
        <v>889</v>
      </c>
    </row>
    <row r="8" customFormat="false" ht="15" hidden="false" customHeight="false" outlineLevel="0" collapsed="false">
      <c r="A8" s="7" t="s">
        <v>890</v>
      </c>
      <c r="B8" s="14" t="n">
        <f aca="false">-DRE!C21/(BP!C43+BP!C44)*((BP!C43+BP!C44)+(BP!B43+BP!B44))/2</f>
        <v>1529944.66256327</v>
      </c>
      <c r="C8" s="14" t="n">
        <f aca="false">-DRE!B21</f>
        <v>1481886</v>
      </c>
      <c r="D8" s="9" t="n">
        <f aca="false">C8-B8</f>
        <v>-48058.6625632693</v>
      </c>
      <c r="E8" s="7" t="str">
        <f aca="false">IF(ABS(D8)&gt;$B$3,"Sim - investigar","Não")</f>
        <v>Não</v>
      </c>
      <c r="F8" s="7" t="s">
        <v>891</v>
      </c>
    </row>
    <row r="9" customFormat="false" ht="15" hidden="false" customHeight="false" outlineLevel="0" collapsed="false">
      <c r="A9" s="7" t="s">
        <v>892</v>
      </c>
      <c r="B9" s="14" t="n">
        <f aca="false">-DRE!B23*(DRE!C10/-DRE!C23)</f>
        <v>3308956.69412717</v>
      </c>
      <c r="C9" s="14" t="n">
        <f aca="false">DRE!B10</f>
        <v>3303150</v>
      </c>
      <c r="D9" s="9" t="n">
        <f aca="false">C9-B9</f>
        <v>-5806.69412717409</v>
      </c>
      <c r="E9" s="7" t="str">
        <f aca="false">IF(ABS(D9)&gt;$B$3,"Sim - investigar","Não")</f>
        <v>Não</v>
      </c>
      <c r="F9" s="7" t="s">
        <v>893</v>
      </c>
    </row>
    <row r="10" customFormat="false" ht="15" hidden="false" customHeight="false" outlineLevel="0" collapsed="false">
      <c r="A10" s="7" t="s">
        <v>894</v>
      </c>
      <c r="B10" s="8" t="n">
        <v>2450000</v>
      </c>
      <c r="C10" s="14" t="n">
        <f aca="false">BP!B57</f>
        <v>2325889</v>
      </c>
      <c r="D10" s="9" t="n">
        <f aca="false">C10-B10</f>
        <v>-124111</v>
      </c>
      <c r="E10" s="7" t="str">
        <f aca="false">IF(ABS(D10)&gt;$B$3,"Sim - investigar","Não")</f>
        <v>Sim - investigar</v>
      </c>
      <c r="F10" s="7" t="s">
        <v>895</v>
      </c>
    </row>
    <row r="13" customFormat="false" ht="15" hidden="false" customHeight="false" outlineLevel="0" collapsed="false">
      <c r="A13" s="11" t="s">
        <v>896</v>
      </c>
    </row>
    <row r="14" customFormat="false" ht="15" hidden="false" customHeight="false" outlineLevel="0" collapsed="false">
      <c r="A14" s="6" t="s">
        <v>839</v>
      </c>
      <c r="B14" s="6" t="s">
        <v>883</v>
      </c>
      <c r="C14" s="6" t="s">
        <v>884</v>
      </c>
      <c r="D14" s="6" t="s">
        <v>225</v>
      </c>
      <c r="E14" s="6" t="s">
        <v>885</v>
      </c>
      <c r="F14" s="6" t="s">
        <v>871</v>
      </c>
    </row>
    <row r="15" customFormat="false" ht="15" hidden="false" customHeight="false" outlineLevel="0" collapsed="false">
      <c r="A15" s="7" t="s">
        <v>897</v>
      </c>
      <c r="B15" s="14" t="n">
        <f aca="false">B7</f>
        <v>2462985.2822</v>
      </c>
      <c r="C15" s="8" t="n">
        <v>2490902</v>
      </c>
      <c r="D15" s="9" t="n">
        <f aca="false">C15-B15</f>
        <v>27916.7177999998</v>
      </c>
      <c r="E15" s="7" t="str">
        <f aca="false">IF(ABS(D15)&gt;$B$3,"Sim - investigar","Não")</f>
        <v>Não</v>
      </c>
      <c r="F15" s="7" t="s">
        <v>898</v>
      </c>
    </row>
    <row r="16" customFormat="false" ht="15" hidden="false" customHeight="false" outlineLevel="0" collapsed="false">
      <c r="A16" s="7" t="s">
        <v>899</v>
      </c>
      <c r="C16" s="14" t="n">
        <f aca="false">C7-C15</f>
        <v>651108</v>
      </c>
      <c r="F16" s="7" t="s">
        <v>900</v>
      </c>
    </row>
    <row r="17" customFormat="false" ht="15" hidden="false" customHeight="false" outlineLevel="0" collapsed="false">
      <c r="A17" s="7" t="s">
        <v>901</v>
      </c>
      <c r="B17" s="14" t="n">
        <f aca="false">2450000-168009</f>
        <v>2281991</v>
      </c>
      <c r="C17" s="14" t="n">
        <f aca="false">C10</f>
        <v>2325889</v>
      </c>
      <c r="D17" s="9" t="n">
        <f aca="false">C17-B17</f>
        <v>43898</v>
      </c>
      <c r="E17" s="7" t="str">
        <f aca="false">IF(ABS(D17)&gt;$B$3,"Sim - investigar","Não")</f>
        <v>Não</v>
      </c>
      <c r="F17" s="7" t="s">
        <v>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16.15" hidden="false" customHeight="false" outlineLevel="0" collapsed="false">
      <c r="A1" s="1" t="s">
        <v>903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7" t="s">
        <v>904</v>
      </c>
      <c r="B4" s="30" t="n">
        <v>605.5</v>
      </c>
    </row>
    <row r="5" customFormat="false" ht="15" hidden="false" customHeight="false" outlineLevel="0" collapsed="false">
      <c r="A5" s="7" t="s">
        <v>905</v>
      </c>
      <c r="B5" s="30" t="n">
        <v>245.6</v>
      </c>
    </row>
    <row r="6" customFormat="false" ht="15" hidden="false" customHeight="false" outlineLevel="0" collapsed="false">
      <c r="A6" s="7" t="s">
        <v>906</v>
      </c>
      <c r="B6" s="31" t="n">
        <f aca="false">B4+B5</f>
        <v>851.1</v>
      </c>
    </row>
    <row r="7" customFormat="false" ht="15" hidden="false" customHeight="false" outlineLevel="0" collapsed="false">
      <c r="A7" s="7" t="s">
        <v>907</v>
      </c>
      <c r="B7" s="10" t="n">
        <f aca="false">B5/B6</f>
        <v>0.288567735871226</v>
      </c>
    </row>
    <row r="8" customFormat="false" ht="15" hidden="false" customHeight="false" outlineLevel="0" collapsed="false">
      <c r="A8" s="7" t="s">
        <v>908</v>
      </c>
      <c r="B8" s="32" t="n">
        <f aca="false">Materialidade!B14/1000</f>
        <v>113.633</v>
      </c>
    </row>
    <row r="9" customFormat="false" ht="15" hidden="false" customHeight="false" outlineLevel="0" collapsed="false">
      <c r="A9" s="7" t="s">
        <v>909</v>
      </c>
      <c r="B9" s="32" t="n">
        <f aca="false">Materialidade!B12/1000</f>
        <v>162.333</v>
      </c>
    </row>
    <row r="11" customFormat="false" ht="15" hidden="false" customHeight="false" outlineLevel="0" collapsed="false">
      <c r="A11" s="6" t="s">
        <v>910</v>
      </c>
      <c r="B11" s="6" t="s">
        <v>911</v>
      </c>
      <c r="C11" s="6" t="s">
        <v>912</v>
      </c>
      <c r="D11" s="6" t="s">
        <v>913</v>
      </c>
    </row>
    <row r="12" customFormat="false" ht="15" hidden="false" customHeight="false" outlineLevel="0" collapsed="false">
      <c r="A12" s="17" t="n">
        <v>0.2</v>
      </c>
      <c r="B12" s="31" t="n">
        <f aca="false">$B$6*A12</f>
        <v>170.22</v>
      </c>
      <c r="C12" s="33" t="n">
        <f aca="false">B12-$B$5</f>
        <v>-75.38</v>
      </c>
      <c r="D12" s="7" t="str">
        <f aca="false">IF(ABS(C12)&gt;$B$9,"Acima da global",IF(ABS(C12)&gt;$B$8,"Acima da ME","Abaixo da ME"))</f>
        <v>Abaixo da ME</v>
      </c>
    </row>
    <row r="13" customFormat="false" ht="15" hidden="false" customHeight="false" outlineLevel="0" collapsed="false">
      <c r="A13" s="17" t="n">
        <v>0.35</v>
      </c>
      <c r="B13" s="31" t="n">
        <f aca="false">$B$6*A13</f>
        <v>297.885</v>
      </c>
      <c r="C13" s="33" t="n">
        <f aca="false">B13-$B$5</f>
        <v>52.285</v>
      </c>
      <c r="D13" s="7" t="str">
        <f aca="false">IF(ABS(C13)&gt;$B$9,"Acima da global",IF(ABS(C13)&gt;$B$8,"Acima da ME","Abaixo da ME"))</f>
        <v>Abaixo da ME</v>
      </c>
    </row>
    <row r="14" customFormat="false" ht="15" hidden="false" customHeight="false" outlineLevel="0" collapsed="false">
      <c r="A14" s="17" t="n">
        <v>0.4</v>
      </c>
      <c r="B14" s="31" t="n">
        <f aca="false">$B$6*A14</f>
        <v>340.44</v>
      </c>
      <c r="C14" s="33" t="n">
        <f aca="false">B14-$B$5</f>
        <v>94.8400000000001</v>
      </c>
      <c r="D14" s="7" t="str">
        <f aca="false">IF(ABS(C14)&gt;$B$9,"Acima da global",IF(ABS(C14)&gt;$B$8,"Acima da ME","Abaixo da ME"))</f>
        <v>Abaixo da ME</v>
      </c>
    </row>
    <row r="15" customFormat="false" ht="15" hidden="false" customHeight="false" outlineLevel="0" collapsed="false">
      <c r="A15" s="17" t="n">
        <v>0.5</v>
      </c>
      <c r="B15" s="31" t="n">
        <f aca="false">$B$6*A15</f>
        <v>425.55</v>
      </c>
      <c r="C15" s="33" t="n">
        <f aca="false">B15-$B$5</f>
        <v>179.95</v>
      </c>
      <c r="D15" s="7" t="str">
        <f aca="false">IF(ABS(C15)&gt;$B$9,"Acima da global",IF(ABS(C15)&gt;$B$8,"Acima da ME","Abaixo da ME"))</f>
        <v>Acima da global</v>
      </c>
    </row>
    <row r="17" customFormat="false" ht="15" hidden="false" customHeight="false" outlineLevel="0" collapsed="false">
      <c r="A17" s="7" t="s">
        <v>914</v>
      </c>
      <c r="B17" s="10" t="n">
        <f aca="false">(B5+B9)/B6</f>
        <v>0.47930090471155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915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7" t="s">
        <v>916</v>
      </c>
      <c r="B4" s="14" t="n">
        <f aca="false">Materialidade!B14</f>
        <v>113633</v>
      </c>
    </row>
    <row r="6" customFormat="false" ht="46.25" hidden="false" customHeight="false" outlineLevel="0" collapsed="false">
      <c r="A6" s="6" t="s">
        <v>917</v>
      </c>
      <c r="B6" s="6" t="s">
        <v>918</v>
      </c>
      <c r="C6" s="6" t="s">
        <v>919</v>
      </c>
      <c r="D6" s="6" t="s">
        <v>920</v>
      </c>
      <c r="E6" s="6" t="s">
        <v>921</v>
      </c>
    </row>
    <row r="7" customFormat="false" ht="15" hidden="false" customHeight="false" outlineLevel="0" collapsed="false">
      <c r="A7" s="7" t="s">
        <v>922</v>
      </c>
      <c r="B7" s="8" t="n">
        <v>19202210</v>
      </c>
      <c r="C7" s="10" t="n">
        <f aca="false">B7/$B$18</f>
        <v>0.66285838517906</v>
      </c>
      <c r="D7" s="17" t="n">
        <v>0.75</v>
      </c>
      <c r="E7" s="9" t="n">
        <f aca="false">ROUND($B$4*D7,0)</f>
        <v>85225</v>
      </c>
    </row>
    <row r="8" customFormat="false" ht="15" hidden="false" customHeight="false" outlineLevel="0" collapsed="false">
      <c r="A8" s="7" t="s">
        <v>923</v>
      </c>
      <c r="B8" s="8" t="n">
        <v>2253075</v>
      </c>
      <c r="C8" s="10" t="n">
        <f aca="false">B8/$B$18</f>
        <v>0.0777759255933203</v>
      </c>
      <c r="D8" s="17" t="n">
        <v>0.65</v>
      </c>
      <c r="E8" s="9" t="n">
        <f aca="false">ROUND($B$4*D8,0)</f>
        <v>73861</v>
      </c>
    </row>
    <row r="9" customFormat="false" ht="15" hidden="false" customHeight="false" outlineLevel="0" collapsed="false">
      <c r="A9" s="7" t="s">
        <v>924</v>
      </c>
      <c r="B9" s="8" t="n">
        <v>1097358</v>
      </c>
      <c r="C9" s="10" t="n">
        <f aca="false">B9/$B$18</f>
        <v>0.0378806893499927</v>
      </c>
      <c r="D9" s="17" t="n">
        <v>0.65</v>
      </c>
      <c r="E9" s="9" t="n">
        <f aca="false">ROUND($B$4*D9,0)</f>
        <v>73861</v>
      </c>
    </row>
    <row r="10" customFormat="false" ht="15" hidden="false" customHeight="false" outlineLevel="0" collapsed="false">
      <c r="A10" s="7" t="s">
        <v>925</v>
      </c>
      <c r="B10" s="8" t="n">
        <v>4402327</v>
      </c>
      <c r="C10" s="10" t="n">
        <f aca="false">B10/$B$18</f>
        <v>0.15196789152135</v>
      </c>
      <c r="D10" s="17" t="n">
        <v>0.4</v>
      </c>
      <c r="E10" s="9" t="n">
        <f aca="false">ROUND($B$4*D10,0)</f>
        <v>45453</v>
      </c>
    </row>
    <row r="11" customFormat="false" ht="15" hidden="false" customHeight="false" outlineLevel="0" collapsed="false">
      <c r="A11" s="7" t="s">
        <v>926</v>
      </c>
      <c r="B11" s="8" t="n">
        <v>877553</v>
      </c>
      <c r="C11" s="10" t="n">
        <f aca="false">B11/$B$18</f>
        <v>0.0302930425450529</v>
      </c>
      <c r="D11" s="17" t="n">
        <v>0.25</v>
      </c>
      <c r="E11" s="9" t="n">
        <f aca="false">ROUND($B$4*D11,0)</f>
        <v>28408</v>
      </c>
    </row>
    <row r="12" customFormat="false" ht="15" hidden="false" customHeight="false" outlineLevel="0" collapsed="false">
      <c r="A12" s="7" t="s">
        <v>927</v>
      </c>
      <c r="B12" s="8" t="n">
        <v>598908</v>
      </c>
      <c r="C12" s="10" t="n">
        <f aca="false">B12/$B$18</f>
        <v>0.0206742447744723</v>
      </c>
      <c r="D12" s="17" t="n">
        <v>0.25</v>
      </c>
      <c r="E12" s="9" t="n">
        <f aca="false">ROUND($B$4*D12,0)</f>
        <v>28408</v>
      </c>
    </row>
    <row r="13" customFormat="false" ht="15" hidden="false" customHeight="false" outlineLevel="0" collapsed="false">
      <c r="A13" s="7" t="s">
        <v>928</v>
      </c>
      <c r="B13" s="8" t="n">
        <v>153989</v>
      </c>
      <c r="C13" s="10" t="n">
        <f aca="false">B13/$B$18</f>
        <v>0.00531568501101375</v>
      </c>
      <c r="D13" s="17" t="n">
        <v>0.25</v>
      </c>
      <c r="E13" s="9" t="n">
        <f aca="false">ROUND($B$4*D13,0)</f>
        <v>28408</v>
      </c>
    </row>
    <row r="14" customFormat="false" ht="15" hidden="false" customHeight="false" outlineLevel="0" collapsed="false">
      <c r="A14" s="7" t="s">
        <v>929</v>
      </c>
      <c r="B14" s="8" t="n">
        <v>303765</v>
      </c>
      <c r="C14" s="10" t="n">
        <f aca="false">B14/$B$18</f>
        <v>0.0104859376797732</v>
      </c>
      <c r="D14" s="17" t="n">
        <v>0.25</v>
      </c>
      <c r="E14" s="9" t="n">
        <f aca="false">ROUND($B$4*D14,0)</f>
        <v>28408</v>
      </c>
    </row>
    <row r="15" customFormat="false" ht="15" hidden="false" customHeight="false" outlineLevel="0" collapsed="false">
      <c r="A15" s="7" t="s">
        <v>930</v>
      </c>
      <c r="B15" s="8" t="n">
        <v>39744</v>
      </c>
      <c r="C15" s="10" t="n">
        <f aca="false">B15/$B$18</f>
        <v>0.00137195893913026</v>
      </c>
      <c r="D15" s="17" t="n">
        <v>0.25</v>
      </c>
      <c r="E15" s="9" t="n">
        <f aca="false">ROUND($B$4*D15,0)</f>
        <v>28408</v>
      </c>
    </row>
    <row r="16" customFormat="false" ht="15" hidden="false" customHeight="false" outlineLevel="0" collapsed="false">
      <c r="A16" s="7" t="s">
        <v>931</v>
      </c>
      <c r="B16" s="8" t="n">
        <v>27740</v>
      </c>
      <c r="C16" s="10" t="n">
        <f aca="false">B16/$B$18</f>
        <v>0.000957582049403018</v>
      </c>
      <c r="D16" s="17" t="n">
        <v>0.25</v>
      </c>
      <c r="E16" s="9" t="n">
        <f aca="false">ROUND($B$4*D16,0)</f>
        <v>28408</v>
      </c>
    </row>
    <row r="17" customFormat="false" ht="15" hidden="false" customHeight="false" outlineLevel="0" collapsed="false">
      <c r="A17" s="7" t="s">
        <v>932</v>
      </c>
      <c r="B17" s="8" t="n">
        <v>12128</v>
      </c>
      <c r="C17" s="10" t="n">
        <f aca="false">B17/$B$18</f>
        <v>0.00041865735743186</v>
      </c>
      <c r="D17" s="17" t="n">
        <v>0.25</v>
      </c>
      <c r="E17" s="9" t="n">
        <f aca="false">ROUND($B$4*D17,0)</f>
        <v>28408</v>
      </c>
    </row>
    <row r="18" customFormat="false" ht="15" hidden="false" customHeight="false" outlineLevel="0" collapsed="false">
      <c r="A18" s="11" t="s">
        <v>933</v>
      </c>
      <c r="B18" s="12" t="n">
        <f aca="false">SUM(B7:B17)</f>
        <v>28968797</v>
      </c>
    </row>
    <row r="19" customFormat="false" ht="15" hidden="false" customHeight="false" outlineLevel="0" collapsed="false">
      <c r="A19" s="7" t="s">
        <v>934</v>
      </c>
      <c r="B19" s="8" t="n">
        <v>-2851941</v>
      </c>
    </row>
    <row r="20" customFormat="false" ht="15" hidden="false" customHeight="false" outlineLevel="0" collapsed="false">
      <c r="A20" s="11" t="s">
        <v>935</v>
      </c>
      <c r="B20" s="12" t="n">
        <f aca="false">B18+B19</f>
        <v>26116856</v>
      </c>
      <c r="C20" s="7" t="str">
        <f aca="false">IF(B20=DRE!B6,"Confere com DRE","DIFERENÇA")</f>
        <v>Confere com DRE</v>
      </c>
    </row>
    <row r="21" customFormat="false" ht="15" hidden="false" customHeight="false" outlineLevel="0" collapsed="false">
      <c r="A21" s="7" t="s">
        <v>936</v>
      </c>
      <c r="B21" s="10" t="n">
        <f aca="false">SUM(C7:C9)</f>
        <v>0.778515000122373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60"/>
    <col collapsed="false" customWidth="true" hidden="false" outlineLevel="0" max="6" min="5" style="0" width="30"/>
  </cols>
  <sheetData>
    <row r="1" customFormat="false" ht="16.15" hidden="false" customHeight="false" outlineLevel="0" collapsed="false">
      <c r="A1" s="1" t="s">
        <v>937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938</v>
      </c>
      <c r="B4" s="6" t="s">
        <v>939</v>
      </c>
      <c r="C4" s="6" t="s">
        <v>940</v>
      </c>
      <c r="D4" s="6" t="s">
        <v>941</v>
      </c>
      <c r="E4" s="6" t="s">
        <v>942</v>
      </c>
      <c r="F4" s="6" t="s">
        <v>943</v>
      </c>
    </row>
    <row r="5" customFormat="false" ht="15" hidden="false" customHeight="false" outlineLevel="0" collapsed="false">
      <c r="A5" s="34" t="s">
        <v>944</v>
      </c>
      <c r="B5" s="34" t="s">
        <v>945</v>
      </c>
      <c r="C5" s="34" t="s">
        <v>946</v>
      </c>
      <c r="D5" s="34" t="s">
        <v>947</v>
      </c>
      <c r="E5" s="34" t="s">
        <v>948</v>
      </c>
      <c r="F5" s="34"/>
    </row>
    <row r="6" customFormat="false" ht="15" hidden="false" customHeight="false" outlineLevel="0" collapsed="false">
      <c r="A6" s="34" t="s">
        <v>949</v>
      </c>
      <c r="B6" s="34" t="s">
        <v>950</v>
      </c>
      <c r="C6" s="34" t="s">
        <v>951</v>
      </c>
      <c r="D6" s="34" t="s">
        <v>952</v>
      </c>
      <c r="E6" s="34" t="s">
        <v>953</v>
      </c>
      <c r="F6" s="34" t="s">
        <v>954</v>
      </c>
    </row>
    <row r="7" customFormat="false" ht="15" hidden="false" customHeight="false" outlineLevel="0" collapsed="false">
      <c r="A7" s="34" t="s">
        <v>955</v>
      </c>
      <c r="B7" s="34" t="s">
        <v>956</v>
      </c>
      <c r="C7" s="34" t="s">
        <v>951</v>
      </c>
      <c r="D7" s="34" t="s">
        <v>957</v>
      </c>
      <c r="E7" s="34" t="s">
        <v>958</v>
      </c>
      <c r="F7" s="34"/>
    </row>
    <row r="8" customFormat="false" ht="15" hidden="false" customHeight="false" outlineLevel="0" collapsed="false">
      <c r="A8" s="34" t="s">
        <v>959</v>
      </c>
      <c r="B8" s="34" t="s">
        <v>960</v>
      </c>
      <c r="C8" s="34" t="s">
        <v>961</v>
      </c>
      <c r="D8" s="34" t="s">
        <v>962</v>
      </c>
      <c r="E8" s="34" t="s">
        <v>963</v>
      </c>
      <c r="F8" s="34" t="s">
        <v>964</v>
      </c>
    </row>
    <row r="9" customFormat="false" ht="15" hidden="false" customHeight="false" outlineLevel="0" collapsed="false">
      <c r="A9" s="34" t="s">
        <v>965</v>
      </c>
      <c r="B9" s="34" t="s">
        <v>966</v>
      </c>
      <c r="C9" s="34" t="s">
        <v>951</v>
      </c>
      <c r="D9" s="34" t="s">
        <v>967</v>
      </c>
      <c r="E9" s="34" t="s">
        <v>968</v>
      </c>
      <c r="F9" s="34" t="s">
        <v>969</v>
      </c>
    </row>
    <row r="10" customFormat="false" ht="15" hidden="false" customHeight="false" outlineLevel="0" collapsed="false">
      <c r="A10" s="34" t="s">
        <v>970</v>
      </c>
      <c r="B10" s="34" t="s">
        <v>971</v>
      </c>
      <c r="C10" s="34" t="s">
        <v>951</v>
      </c>
      <c r="D10" s="34" t="s">
        <v>972</v>
      </c>
      <c r="E10" s="34" t="s">
        <v>973</v>
      </c>
      <c r="F10" s="34" t="s">
        <v>974</v>
      </c>
    </row>
    <row r="11" customFormat="false" ht="15" hidden="false" customHeight="false" outlineLevel="0" collapsed="false">
      <c r="A11" s="34" t="s">
        <v>975</v>
      </c>
      <c r="B11" s="34" t="s">
        <v>975</v>
      </c>
      <c r="C11" s="34" t="s">
        <v>976</v>
      </c>
      <c r="D11" s="34" t="s">
        <v>977</v>
      </c>
      <c r="E11" s="34" t="s">
        <v>978</v>
      </c>
      <c r="F11" s="34" t="s">
        <v>979</v>
      </c>
    </row>
    <row r="12" customFormat="false" ht="15" hidden="false" customHeight="false" outlineLevel="0" collapsed="false">
      <c r="A12" s="34" t="s">
        <v>980</v>
      </c>
      <c r="B12" s="34" t="s">
        <v>981</v>
      </c>
      <c r="C12" s="34" t="s">
        <v>982</v>
      </c>
      <c r="D12" s="34" t="s">
        <v>983</v>
      </c>
      <c r="E12" s="34" t="s">
        <v>984</v>
      </c>
      <c r="F12" s="34" t="s">
        <v>985</v>
      </c>
    </row>
    <row r="13" customFormat="false" ht="15" hidden="false" customHeight="false" outlineLevel="0" collapsed="false">
      <c r="A13" s="34" t="s">
        <v>986</v>
      </c>
      <c r="B13" s="34" t="s">
        <v>986</v>
      </c>
      <c r="C13" s="34" t="s">
        <v>987</v>
      </c>
      <c r="D13" s="34" t="s">
        <v>988</v>
      </c>
      <c r="E13" s="34" t="s">
        <v>989</v>
      </c>
      <c r="F13" s="34" t="s">
        <v>984</v>
      </c>
    </row>
    <row r="14" customFormat="false" ht="15" hidden="false" customHeight="false" outlineLevel="0" collapsed="false">
      <c r="A14" s="34" t="s">
        <v>990</v>
      </c>
      <c r="B14" s="34" t="s">
        <v>991</v>
      </c>
      <c r="C14" s="34" t="s">
        <v>951</v>
      </c>
      <c r="D14" s="34" t="s">
        <v>992</v>
      </c>
      <c r="E14" s="34" t="s">
        <v>993</v>
      </c>
      <c r="F14" s="34" t="s">
        <v>994</v>
      </c>
    </row>
    <row r="15" customFormat="false" ht="15" hidden="false" customHeight="false" outlineLevel="0" collapsed="false">
      <c r="A15" s="34" t="s">
        <v>995</v>
      </c>
      <c r="B15" s="34" t="s">
        <v>996</v>
      </c>
      <c r="C15" s="34" t="s">
        <v>997</v>
      </c>
      <c r="D15" s="34" t="s">
        <v>998</v>
      </c>
      <c r="E15" s="34" t="s">
        <v>999</v>
      </c>
      <c r="F15" s="34" t="s">
        <v>1000</v>
      </c>
    </row>
    <row r="16" customFormat="false" ht="15" hidden="false" customHeight="false" outlineLevel="0" collapsed="false">
      <c r="A16" s="34" t="s">
        <v>1001</v>
      </c>
      <c r="B16" s="34" t="s">
        <v>1002</v>
      </c>
      <c r="C16" s="34" t="s">
        <v>951</v>
      </c>
      <c r="D16" s="34" t="s">
        <v>1003</v>
      </c>
      <c r="E16" s="34" t="s">
        <v>1004</v>
      </c>
      <c r="F16" s="34" t="s">
        <v>1005</v>
      </c>
    </row>
    <row r="17" customFormat="false" ht="35.05" hidden="false" customHeight="false" outlineLevel="0" collapsed="false">
      <c r="A17" s="34" t="s">
        <v>1006</v>
      </c>
      <c r="B17" s="34" t="s">
        <v>1007</v>
      </c>
      <c r="C17" s="34" t="s">
        <v>951</v>
      </c>
      <c r="D17" s="34" t="s">
        <v>1008</v>
      </c>
      <c r="E17" s="34" t="s">
        <v>1009</v>
      </c>
      <c r="F17" s="34" t="s">
        <v>1010</v>
      </c>
    </row>
    <row r="18" customFormat="false" ht="23.85" hidden="false" customHeight="false" outlineLevel="0" collapsed="false">
      <c r="A18" s="34" t="s">
        <v>1011</v>
      </c>
      <c r="B18" s="34" t="s">
        <v>1011</v>
      </c>
      <c r="C18" s="34" t="s">
        <v>1012</v>
      </c>
      <c r="D18" s="34" t="s">
        <v>1013</v>
      </c>
      <c r="E18" s="34" t="s">
        <v>1014</v>
      </c>
      <c r="F18" s="34"/>
    </row>
    <row r="19" customFormat="false" ht="15" hidden="false" customHeight="false" outlineLevel="0" collapsed="false">
      <c r="A19" s="34" t="s">
        <v>1015</v>
      </c>
      <c r="B19" s="34" t="s">
        <v>1016</v>
      </c>
      <c r="C19" s="34" t="s">
        <v>951</v>
      </c>
      <c r="D19" s="34" t="s">
        <v>1017</v>
      </c>
      <c r="E19" s="34" t="s">
        <v>1018</v>
      </c>
      <c r="F19" s="34" t="s">
        <v>1019</v>
      </c>
    </row>
    <row r="20" customFormat="false" ht="23.85" hidden="false" customHeight="false" outlineLevel="0" collapsed="false">
      <c r="A20" s="34" t="s">
        <v>1020</v>
      </c>
      <c r="B20" s="34" t="s">
        <v>1021</v>
      </c>
      <c r="C20" s="34" t="s">
        <v>951</v>
      </c>
      <c r="D20" s="34" t="s">
        <v>1022</v>
      </c>
      <c r="E20" s="34" t="s">
        <v>1023</v>
      </c>
      <c r="F20" s="34"/>
    </row>
    <row r="21" customFormat="false" ht="23.85" hidden="false" customHeight="false" outlineLevel="0" collapsed="false">
      <c r="A21" s="34" t="s">
        <v>1024</v>
      </c>
      <c r="B21" s="34" t="s">
        <v>1024</v>
      </c>
      <c r="C21" s="34" t="s">
        <v>1025</v>
      </c>
      <c r="D21" s="34" t="s">
        <v>1026</v>
      </c>
      <c r="E21" s="34" t="s">
        <v>1027</v>
      </c>
      <c r="F21" s="34" t="s">
        <v>1028</v>
      </c>
    </row>
    <row r="22" customFormat="false" ht="15" hidden="false" customHeight="false" outlineLevel="0" collapsed="false">
      <c r="A22" s="34" t="s">
        <v>1029</v>
      </c>
      <c r="B22" s="34" t="s">
        <v>1029</v>
      </c>
      <c r="C22" s="34" t="s">
        <v>1030</v>
      </c>
      <c r="D22" s="34" t="s">
        <v>1031</v>
      </c>
      <c r="E22" s="34" t="s">
        <v>1032</v>
      </c>
      <c r="F22" s="34" t="s">
        <v>1033</v>
      </c>
    </row>
    <row r="23" customFormat="false" ht="15" hidden="false" customHeight="false" outlineLevel="0" collapsed="false">
      <c r="A23" s="34" t="s">
        <v>1034</v>
      </c>
      <c r="B23" s="34" t="s">
        <v>1035</v>
      </c>
      <c r="C23" s="34" t="s">
        <v>951</v>
      </c>
      <c r="D23" s="34" t="s">
        <v>1036</v>
      </c>
      <c r="E23" s="34" t="s">
        <v>1037</v>
      </c>
      <c r="F23" s="34"/>
    </row>
    <row r="24" customFormat="false" ht="15" hidden="false" customHeight="false" outlineLevel="0" collapsed="false">
      <c r="A24" s="34" t="s">
        <v>1038</v>
      </c>
      <c r="B24" s="34" t="s">
        <v>1038</v>
      </c>
      <c r="C24" s="34" t="s">
        <v>1039</v>
      </c>
      <c r="D24" s="34" t="s">
        <v>1040</v>
      </c>
      <c r="E24" s="34" t="s">
        <v>1041</v>
      </c>
      <c r="F24" s="34" t="s">
        <v>1042</v>
      </c>
    </row>
    <row r="25" customFormat="false" ht="15" hidden="false" customHeight="false" outlineLevel="0" collapsed="false">
      <c r="A25" s="34" t="s">
        <v>1043</v>
      </c>
      <c r="B25" s="34" t="s">
        <v>1043</v>
      </c>
      <c r="C25" s="34" t="s">
        <v>1044</v>
      </c>
      <c r="D25" s="34" t="s">
        <v>1045</v>
      </c>
      <c r="E25" s="34" t="s">
        <v>1046</v>
      </c>
      <c r="F25" s="34" t="s">
        <v>1018</v>
      </c>
    </row>
    <row r="26" customFormat="false" ht="23.85" hidden="false" customHeight="false" outlineLevel="0" collapsed="false">
      <c r="A26" s="34" t="s">
        <v>1047</v>
      </c>
      <c r="B26" s="34" t="s">
        <v>1048</v>
      </c>
      <c r="C26" s="34" t="s">
        <v>1049</v>
      </c>
      <c r="D26" s="34" t="s">
        <v>1050</v>
      </c>
      <c r="E26" s="34" t="s">
        <v>1051</v>
      </c>
      <c r="F26" s="34" t="s">
        <v>1052</v>
      </c>
    </row>
    <row r="27" customFormat="false" ht="15" hidden="false" customHeight="false" outlineLevel="0" collapsed="false">
      <c r="A27" s="34" t="s">
        <v>1053</v>
      </c>
      <c r="B27" s="34" t="s">
        <v>1053</v>
      </c>
      <c r="C27" s="34" t="s">
        <v>1054</v>
      </c>
      <c r="D27" s="34" t="s">
        <v>1055</v>
      </c>
      <c r="E27" s="34" t="s">
        <v>1056</v>
      </c>
      <c r="F27" s="34"/>
    </row>
    <row r="28" customFormat="false" ht="15" hidden="false" customHeight="false" outlineLevel="0" collapsed="false">
      <c r="A28" s="34" t="s">
        <v>1057</v>
      </c>
      <c r="B28" s="34" t="s">
        <v>1058</v>
      </c>
      <c r="C28" s="34" t="s">
        <v>951</v>
      </c>
      <c r="D28" s="34" t="s">
        <v>1059</v>
      </c>
      <c r="E28" s="34" t="s">
        <v>1060</v>
      </c>
      <c r="F28" s="34"/>
    </row>
    <row r="29" customFormat="false" ht="15" hidden="false" customHeight="false" outlineLevel="0" collapsed="false">
      <c r="A29" s="34" t="s">
        <v>1061</v>
      </c>
      <c r="B29" s="34" t="s">
        <v>1061</v>
      </c>
      <c r="C29" s="34" t="s">
        <v>982</v>
      </c>
      <c r="D29" s="34" t="s">
        <v>1062</v>
      </c>
      <c r="E29" s="34" t="s">
        <v>1063</v>
      </c>
      <c r="F29" s="34"/>
    </row>
    <row r="30" customFormat="false" ht="15" hidden="false" customHeight="false" outlineLevel="0" collapsed="false">
      <c r="A30" s="34" t="s">
        <v>1064</v>
      </c>
      <c r="B30" s="34" t="s">
        <v>1065</v>
      </c>
      <c r="C30" s="34" t="s">
        <v>951</v>
      </c>
      <c r="D30" s="34" t="s">
        <v>1066</v>
      </c>
      <c r="E30" s="34" t="s">
        <v>1067</v>
      </c>
      <c r="F30" s="34"/>
    </row>
    <row r="31" customFormat="false" ht="23.85" hidden="false" customHeight="false" outlineLevel="0" collapsed="false">
      <c r="A31" s="34" t="s">
        <v>1068</v>
      </c>
      <c r="B31" s="34" t="s">
        <v>1069</v>
      </c>
      <c r="C31" s="34" t="s">
        <v>1070</v>
      </c>
      <c r="D31" s="34" t="s">
        <v>1071</v>
      </c>
      <c r="E31" s="34" t="s">
        <v>1072</v>
      </c>
      <c r="F31" s="34"/>
    </row>
    <row r="33" customFormat="false" ht="15" hidden="false" customHeight="false" outlineLevel="0" collapsed="false">
      <c r="A33" s="11" t="s">
        <v>1073</v>
      </c>
      <c r="B33" s="11" t="n">
        <f aca="false">COUNTIF(E5:E31,"")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1074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6" t="s">
        <v>1075</v>
      </c>
      <c r="B4" s="6" t="s">
        <v>1076</v>
      </c>
      <c r="C4" s="6" t="s">
        <v>1077</v>
      </c>
    </row>
    <row r="5" customFormat="false" ht="35.05" hidden="false" customHeight="false" outlineLevel="0" collapsed="false">
      <c r="A5" s="7" t="s">
        <v>1078</v>
      </c>
      <c r="B5" s="34" t="s">
        <v>1079</v>
      </c>
      <c r="C5" s="34" t="s">
        <v>1080</v>
      </c>
    </row>
    <row r="6" customFormat="false" ht="46.25" hidden="false" customHeight="false" outlineLevel="0" collapsed="false">
      <c r="A6" s="7" t="s">
        <v>1081</v>
      </c>
      <c r="B6" s="34" t="s">
        <v>1082</v>
      </c>
      <c r="C6" s="34" t="s">
        <v>1083</v>
      </c>
    </row>
    <row r="7" customFormat="false" ht="35.05" hidden="false" customHeight="false" outlineLevel="0" collapsed="false">
      <c r="A7" s="7" t="s">
        <v>1084</v>
      </c>
      <c r="B7" s="34" t="s">
        <v>1085</v>
      </c>
      <c r="C7" s="34" t="s">
        <v>1086</v>
      </c>
    </row>
    <row r="8" customFormat="false" ht="23.85" hidden="false" customHeight="false" outlineLevel="0" collapsed="false">
      <c r="A8" s="7" t="s">
        <v>1087</v>
      </c>
      <c r="B8" s="34" t="s">
        <v>1088</v>
      </c>
      <c r="C8" s="34" t="s">
        <v>1089</v>
      </c>
    </row>
    <row r="9" customFormat="false" ht="23.85" hidden="false" customHeight="false" outlineLevel="0" collapsed="false">
      <c r="A9" s="7" t="s">
        <v>1090</v>
      </c>
      <c r="B9" s="34" t="s">
        <v>1091</v>
      </c>
      <c r="C9" s="34" t="s">
        <v>1092</v>
      </c>
    </row>
    <row r="10" customFormat="false" ht="23.85" hidden="false" customHeight="false" outlineLevel="0" collapsed="false">
      <c r="A10" s="7" t="s">
        <v>1093</v>
      </c>
      <c r="B10" s="34" t="s">
        <v>1094</v>
      </c>
      <c r="C10" s="34" t="s">
        <v>1095</v>
      </c>
    </row>
    <row r="11" customFormat="false" ht="35.05" hidden="false" customHeight="false" outlineLevel="0" collapsed="false">
      <c r="A11" s="7" t="s">
        <v>1096</v>
      </c>
      <c r="B11" s="34" t="s">
        <v>1097</v>
      </c>
      <c r="C11" s="34" t="s">
        <v>1098</v>
      </c>
    </row>
    <row r="12" customFormat="false" ht="23.85" hidden="false" customHeight="false" outlineLevel="0" collapsed="false">
      <c r="A12" s="7" t="s">
        <v>1099</v>
      </c>
      <c r="B12" s="34" t="s">
        <v>1100</v>
      </c>
      <c r="C12" s="34" t="s">
        <v>1101</v>
      </c>
    </row>
    <row r="13" customFormat="false" ht="23.85" hidden="false" customHeight="false" outlineLevel="0" collapsed="false">
      <c r="A13" s="7" t="s">
        <v>1102</v>
      </c>
      <c r="B13" s="34" t="s">
        <v>1103</v>
      </c>
      <c r="C13" s="34" t="s">
        <v>1104</v>
      </c>
    </row>
    <row r="14" customFormat="false" ht="35.05" hidden="false" customHeight="false" outlineLevel="0" collapsed="false">
      <c r="A14" s="7" t="s">
        <v>1105</v>
      </c>
      <c r="B14" s="34" t="s">
        <v>1106</v>
      </c>
      <c r="C14" s="34" t="s">
        <v>1107</v>
      </c>
    </row>
    <row r="15" customFormat="false" ht="23.85" hidden="false" customHeight="false" outlineLevel="0" collapsed="false">
      <c r="A15" s="7" t="s">
        <v>1108</v>
      </c>
      <c r="B15" s="34" t="s">
        <v>1109</v>
      </c>
      <c r="C15" s="34" t="s">
        <v>1110</v>
      </c>
    </row>
    <row r="16" customFormat="false" ht="23.85" hidden="false" customHeight="false" outlineLevel="0" collapsed="false">
      <c r="A16" s="7" t="s">
        <v>1111</v>
      </c>
      <c r="B16" s="34" t="s">
        <v>1112</v>
      </c>
      <c r="C16" s="34" t="s">
        <v>1113</v>
      </c>
    </row>
    <row r="17" customFormat="false" ht="23.85" hidden="false" customHeight="false" outlineLevel="0" collapsed="false">
      <c r="A17" s="7" t="s">
        <v>1114</v>
      </c>
      <c r="B17" s="34" t="s">
        <v>1115</v>
      </c>
      <c r="C17" s="34" t="s">
        <v>1116</v>
      </c>
    </row>
    <row r="18" customFormat="false" ht="23.85" hidden="false" customHeight="false" outlineLevel="0" collapsed="false">
      <c r="A18" s="7" t="s">
        <v>1117</v>
      </c>
      <c r="B18" s="34" t="s">
        <v>1118</v>
      </c>
      <c r="C18" s="34" t="s">
        <v>1119</v>
      </c>
    </row>
    <row r="19" customFormat="false" ht="35.05" hidden="false" customHeight="false" outlineLevel="0" collapsed="false">
      <c r="A19" s="7" t="s">
        <v>1120</v>
      </c>
      <c r="B19" s="34" t="s">
        <v>1121</v>
      </c>
      <c r="C19" s="34" t="s">
        <v>1122</v>
      </c>
    </row>
    <row r="20" customFormat="false" ht="35.05" hidden="false" customHeight="false" outlineLevel="0" collapsed="false">
      <c r="A20" s="7" t="s">
        <v>1123</v>
      </c>
      <c r="B20" s="34" t="s">
        <v>1124</v>
      </c>
      <c r="C20" s="34" t="s">
        <v>1125</v>
      </c>
    </row>
    <row r="21" customFormat="false" ht="91" hidden="false" customHeight="false" outlineLevel="0" collapsed="false">
      <c r="A21" s="7" t="s">
        <v>1126</v>
      </c>
      <c r="B21" s="34" t="s">
        <v>1127</v>
      </c>
      <c r="C21" s="34" t="s">
        <v>1128</v>
      </c>
    </row>
    <row r="22" customFormat="false" ht="57.45" hidden="false" customHeight="false" outlineLevel="0" collapsed="false">
      <c r="A22" s="7" t="s">
        <v>1129</v>
      </c>
      <c r="B22" s="34" t="s">
        <v>1130</v>
      </c>
      <c r="C22" s="34" t="s">
        <v>1131</v>
      </c>
    </row>
    <row r="23" customFormat="false" ht="35.05" hidden="false" customHeight="false" outlineLevel="0" collapsed="false">
      <c r="A23" s="7" t="s">
        <v>1132</v>
      </c>
      <c r="B23" s="34" t="s">
        <v>1133</v>
      </c>
      <c r="C23" s="34" t="s">
        <v>1134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2026-10-25T00:39:43Z</dcterms:created>
  <dc:creator>openpyxl</dc:creator>
  <dc:description/>
  <dc:language>en-US</dc:language>
  <cp:lastModifiedBy/>
  <dcterms:modified xsi:type="dcterms:W3CDTF">2026-10-25T00:39:44Z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